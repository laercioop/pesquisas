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782010109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co_Bruto" sheetId="1" r:id="R5268b496b9f0473d"/>
    <x:sheet xmlns:r="http://schemas.openxmlformats.org/officeDocument/2006/relationships" name="Pesquisas_1T" sheetId="2" r:id="Rf33109c900c849b2"/>
    <x:sheet xmlns:r="http://schemas.openxmlformats.org/officeDocument/2006/relationships" name="Vies" sheetId="3" r:id="R526cd1cae9bd4ef2"/>
    <x:sheet xmlns:r="http://schemas.openxmlformats.org/officeDocument/2006/relationships" name="Pesquisas_2T" sheetId="4" r:id="Rf83bd8799a264c9a"/>
    <x:sheet xmlns:r="http://schemas.openxmlformats.org/officeDocument/2006/relationships" name="Ativas_2T" sheetId="5" r:id="R9dce5d15eed2410e"/>
    <x:sheet xmlns:r="http://schemas.openxmlformats.org/officeDocument/2006/relationships" name="Painel" sheetId="6" r:id="R2aefa1f9473f4f24"/>
    <x:sheet xmlns:r="http://schemas.openxmlformats.org/officeDocument/2006/relationships" name="Cenarios" sheetId="7" r:id="Rf4e5b4fdd15c4624"/>
    <x:sheet xmlns:r="http://schemas.openxmlformats.org/officeDocument/2006/relationships" name="Metodologia" sheetId="8" r:id="Rbf818d183b7d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324D"/>
      <x:name val="Carlito"/>
    </x:font>
    <x:font>
      <x:b/>
      <x:sz val="11"/>
      <x:color rgb="FF7C4A03"/>
      <x:name val="Carlito"/>
    </x:font>
    <x:font>
      <x:b/>
      <x:sz val="11"/>
      <x:color rgb="FF1D4ED8"/>
      <x:name val="Carlito"/>
    </x:font>
    <x:font>
      <x:sz val="11"/>
      <x:color rgb="FF64748B"/>
      <x:name val="Carlito"/>
    </x:font>
    <x:font>
      <x:b/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3F1"/>
      </x:patternFill>
    </x:fill>
    <x:fill>
      <x:patternFill patternType="solid">
        <x:fgColor rgb="FFF1F5F9"/>
      </x:patternFill>
    </x:fill>
    <x:fill>
      <x:patternFill patternType="solid">
        <x:fgColor rgb="FFFFF2D9"/>
      </x:patternFill>
    </x:fill>
    <x:fill>
      <x:patternFill patternType="solid">
        <x:fgColor rgb="FFDDEAF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6" borderId="0" xfId="0" applyNumberFormat="1" applyFont="1" applyFill="1" applyBorder="1"/>
    <x:xf numFmtId="200" fontId="5" fillId="6" borderId="0" xfId="0" applyNumberFormat="1" applyFont="1" applyFill="1" applyBorder="1"/>
    <x:xf numFmtId="200" fontId="0" fillId="6" borderId="1" xfId="0" applyNumberFormat="1" applyFont="1" applyFill="1" applyBorder="1"/>
    <x:xf numFmtId="200" fontId="5" fillId="6" borderId="1" xfId="0" applyNumberFormat="1" applyFont="1" applyFill="1" applyBorder="1"/>
    <x:xf numFmtId="200" fontId="0" fillId="4" borderId="0" xfId="0" applyNumberFormat="1" applyFont="1" applyFill="1" applyBorder="1"/>
    <x:xf numFmtId="200" fontId="6" fillId="4" borderId="0" xfId="0" applyNumberFormat="1" applyFont="1" applyFill="1" applyBorder="1"/>
    <x:xf numFmtId="200" fontId="0" fillId="4" borderId="1" xfId="0" applyNumberFormat="1" applyFont="1" applyFill="1" applyBorder="1"/>
    <x:xf numFmtId="200" fontId="6" fillId="4" borderId="1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0" fontId="0" fillId="3" borderId="1" xfId="0" applyNumberFormat="1" applyFont="1" applyFill="1" applyBorder="1"/>
    <x:xf numFmtId="0" fontId="7" fillId="3" borderId="1" xfId="0" applyNumberFormat="1" applyFont="1" applyFill="1" applyBorder="1"/>
    <x:xf numFmtId="200" fontId="7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fdf12ebf8414c" /><Relationship Type="http://schemas.openxmlformats.org/officeDocument/2006/relationships/theme" Target="/xl/theme/theme1.xml" Id="R1d8188872f2141ba" /><Relationship Type="http://schemas.openxmlformats.org/officeDocument/2006/relationships/sharedStrings" Target="/xl/sharedStrings.xml" Id="Ra18844e183b74766" /><Relationship Type="http://schemas.openxmlformats.org/officeDocument/2006/relationships/worksheet" Target="/xl/worksheets/sheet1.xml" Id="R5268b496b9f0473d" /><Relationship Type="http://schemas.openxmlformats.org/officeDocument/2006/relationships/worksheet" Target="/xl/worksheets/sheet2.xml" Id="Rf33109c900c849b2" /><Relationship Type="http://schemas.openxmlformats.org/officeDocument/2006/relationships/worksheet" Target="/xl/worksheets/sheet3.xml" Id="R526cd1cae9bd4ef2" /><Relationship Type="http://schemas.openxmlformats.org/officeDocument/2006/relationships/worksheet" Target="/xl/worksheets/sheet4.xml" Id="Rf83bd8799a264c9a" /><Relationship Type="http://schemas.openxmlformats.org/officeDocument/2006/relationships/worksheet" Target="/xl/worksheets/sheet5.xml" Id="R9dce5d15eed2410e" /><Relationship Type="http://schemas.openxmlformats.org/officeDocument/2006/relationships/worksheet" Target="/xl/worksheets/sheet6.xml" Id="R2aefa1f9473f4f24" /><Relationship Type="http://schemas.openxmlformats.org/officeDocument/2006/relationships/worksheet" Target="/xl/worksheets/sheet7.xml" Id="Rf4e5b4fdd15c4624" /><Relationship Type="http://schemas.openxmlformats.org/officeDocument/2006/relationships/worksheet" Target="/xl/worksheets/sheet8.xml" Id="Rbf818d183b7d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7" hidden="0" customWidth="1"/>
    <x:col min="15" max="15" width="37" hidden="0" customWidth="1"/>
  </x:cols>
  <x:sheetData>
    <x:row r="1" ht="30" customHeight="1">
      <x:c r="A1" s="4" t="str">
        <x:v>turno</x:v>
      </x:c>
      <x:c r="B1" s="4" t="str">
        <x:v>instituto</x:v>
      </x:c>
      <x:c r="C1" s="4" t="str">
        <x:v>inicio_campo</x:v>
      </x:c>
      <x:c r="D1" s="4" t="str">
        <x:v>fim_campo</x:v>
      </x:c>
      <x:c r="E1" s="4" t="str">
        <x:v>data_divulgacao</x:v>
      </x:c>
      <x:c r="F1" s="4" t="str">
        <x:v>amostra</x:v>
      </x:c>
      <x:c r="G1" s="4" t="str">
        <x:v>lula_reportado_pct</x:v>
      </x:c>
      <x:c r="H1" s="4" t="str">
        <x:v>flavio_reportado_pct</x:v>
      </x:c>
      <x:c r="I1" s="4" t="str">
        <x:v>registro_tse</x:v>
      </x:c>
      <x:c r="J1" s="4" t="str">
        <x:v>base_original</x:v>
      </x:c>
      <x:c r="K1" s="4" t="str">
        <x:v>brancos_nulos_pct</x:v>
      </x:c>
      <x:c r="L1" s="4" t="str">
        <x:v>indecisos_pct</x:v>
      </x:c>
      <x:c r="M1" s="4" t="str">
        <x:v>metodo</x:v>
      </x:c>
      <x:c r="N1" s="4" t="str">
        <x:v>fonte</x:v>
      </x:c>
      <x:c r="O1" s="4" t="str">
        <x:v>observacao</x:v>
      </x:c>
    </x:row>
    <x:row r="2" ht="21" customHeight="1">
      <x:c r="A2" t="n">
        <x:v>1</x:v>
      </x:c>
      <x:c r="B2" t="str">
        <x:v>Datafolha</x:v>
      </x:c>
      <x:c r="C2" t="str">
        <x:v>2026-08-18</x:v>
      </x:c>
      <x:c r="D2" t="str">
        <x:v>2026-08-20</x:v>
      </x:c>
      <x:c r="E2"/>
      <x:c r="F2" t="n">
        <x:v>2058</x:v>
      </x:c>
      <x:c r="G2" t="n">
        <x:v>39</x:v>
      </x:c>
      <x:c r="H2" t="n">
        <x:v>33</x:v>
      </x:c>
      <x:c r="I2" t="str">
        <x:v>BR-04496/2026</x:v>
      </x:c>
      <x:c r="J2" t="str">
        <x:v>totais</x:v>
      </x:c>
      <x:c r="K2" t="n">
        <x:v>7</x:v>
      </x:c>
      <x:c r="L2" t="n">
        <x:v>4</x:v>
      </x:c>
      <x:c r="M2" t="str">
        <x:v>presencial</x:v>
      </x:c>
      <x:c r="N2" t="str">
        <x:v>https://e26.cog.ia.br/eleicoes/pesquisas?cargo=presidente</x:v>
      </x:c>
      <x:c r="O2"/>
    </x:row>
    <x:row r="3" ht="21" customHeight="1">
      <x:c r="A3" t="n">
        <x:v>1</x:v>
      </x:c>
      <x:c r="B3" t="str">
        <x:v>Indexa</x:v>
      </x:c>
      <x:c r="C3" t="str">
        <x:v>2026-08-20</x:v>
      </x:c>
      <x:c r="D3" t="str">
        <x:v>2026-08-23</x:v>
      </x:c>
      <x:c r="E3"/>
      <x:c r="F3" t="n">
        <x:v>2000</x:v>
      </x:c>
      <x:c r="G3" t="n">
        <x:v>39</x:v>
      </x:c>
      <x:c r="H3" t="n">
        <x:v>34</x:v>
      </x:c>
      <x:c r="I3" t="str">
        <x:v>BR-06366/2026</x:v>
      </x:c>
      <x:c r="J3" t="str">
        <x:v>totais</x:v>
      </x:c>
      <x:c r="K3" t="n">
        <x:v>6</x:v>
      </x:c>
      <x:c r="L3" t="n">
        <x:v>6</x:v>
      </x:c>
      <x:c r="M3" t="str">
        <x:v>telefone</x:v>
      </x:c>
      <x:c r="N3" t="str">
        <x:v>https://e26.cog.ia.br/eleicoes/pesquisas?cargo=presidente</x:v>
      </x:c>
      <x:c r="O3"/>
    </x:row>
    <x:row r="4" ht="21" customHeight="1">
      <x:c r="A4" t="n">
        <x:v>1</x:v>
      </x:c>
      <x:c r="B4" t="str">
        <x:v>PoderData</x:v>
      </x:c>
      <x:c r="C4" t="str">
        <x:v>2026-08-23</x:v>
      </x:c>
      <x:c r="D4" t="str">
        <x:v>2026-08-26</x:v>
      </x:c>
      <x:c r="E4"/>
      <x:c r="F4" t="n">
        <x:v>2400</x:v>
      </x:c>
      <x:c r="G4" t="n">
        <x:v>38</x:v>
      </x:c>
      <x:c r="H4" t="n">
        <x:v>35</x:v>
      </x:c>
      <x:c r="I4" t="str">
        <x:v>BR-04974/2026</x:v>
      </x:c>
      <x:c r="J4" t="str">
        <x:v>totais</x:v>
      </x:c>
      <x:c r="K4" t="n">
        <x:v>5</x:v>
      </x:c>
      <x:c r="L4" t="n">
        <x:v>2</x:v>
      </x:c>
      <x:c r="M4" t="str">
        <x:v>telefone</x:v>
      </x:c>
      <x:c r="N4" t="str">
        <x:v>https://e26.cog.ia.br/eleicoes/pesquisas?cargo=presidente</x:v>
      </x:c>
      <x:c r="O4"/>
    </x:row>
    <x:row r="5" ht="21" customHeight="1">
      <x:c r="A5" t="n">
        <x:v>1</x:v>
      </x:c>
      <x:c r="B5" t="str">
        <x:v>Vox Brasil</x:v>
      </x:c>
      <x:c r="C5" t="str">
        <x:v>2026-08-25</x:v>
      </x:c>
      <x:c r="D5" t="str">
        <x:v>2026-08-27</x:v>
      </x:c>
      <x:c r="E5"/>
      <x:c r="F5" t="n">
        <x:v>2100</x:v>
      </x:c>
      <x:c r="G5" t="n">
        <x:v>37.1</x:v>
      </x:c>
      <x:c r="H5" t="n">
        <x:v>34.8</x:v>
      </x:c>
      <x:c r="I5" t="str">
        <x:v>BR-05519/2026</x:v>
      </x:c>
      <x:c r="J5" t="str">
        <x:v>totais</x:v>
      </x:c>
      <x:c r="K5"/>
      <x:c r="L5"/>
      <x:c r="M5" t="str">
        <x:v>presencial</x:v>
      </x:c>
      <x:c r="N5" t="str">
        <x:v>https://e26.cog.ia.br/eleicoes/pesquisas?cargo=presidente</x:v>
      </x:c>
      <x:c r="O5"/>
    </x:row>
    <x:row r="6" ht="21" customHeight="1">
      <x:c r="A6" t="n">
        <x:v>1</x:v>
      </x:c>
      <x:c r="B6" t="str">
        <x:v>AtlasIntel</x:v>
      </x:c>
      <x:c r="C6" t="str">
        <x:v>2026-08-25</x:v>
      </x:c>
      <x:c r="D6" t="str">
        <x:v>2026-08-30</x:v>
      </x:c>
      <x:c r="E6"/>
      <x:c r="F6" t="n">
        <x:v>5000</x:v>
      </x:c>
      <x:c r="G6" t="n">
        <x:v>43.4</x:v>
      </x:c>
      <x:c r="H6" t="n">
        <x:v>33.7</x:v>
      </x:c>
      <x:c r="I6" t="str">
        <x:v>BR-07972/2026</x:v>
      </x:c>
      <x:c r="J6" t="str">
        <x:v>totais</x:v>
      </x:c>
      <x:c r="K6"/>
      <x:c r="L6"/>
      <x:c r="M6" t="str">
        <x:v>online</x:v>
      </x:c>
      <x:c r="N6" t="str">
        <x:v>https://e26.cog.ia.br/eleicoes/pesquisas?cargo=presidente</x:v>
      </x:c>
      <x:c r="O6"/>
    </x:row>
    <x:row r="7" ht="21" customHeight="1">
      <x:c r="A7" t="n">
        <x:v>1</x:v>
      </x:c>
      <x:c r="B7" t="str">
        <x:v>Nexus</x:v>
      </x:c>
      <x:c r="C7" t="str">
        <x:v>2026-08-28</x:v>
      </x:c>
      <x:c r="D7" t="str">
        <x:v>2026-08-30</x:v>
      </x:c>
      <x:c r="E7"/>
      <x:c r="F7" t="n">
        <x:v>2000</x:v>
      </x:c>
      <x:c r="G7" t="n">
        <x:v>39</x:v>
      </x:c>
      <x:c r="H7" t="n">
        <x:v>33</x:v>
      </x:c>
      <x:c r="I7" t="str">
        <x:v>BR-08900/2026</x:v>
      </x:c>
      <x:c r="J7" t="str">
        <x:v>totais</x:v>
      </x:c>
      <x:c r="K7" t="n">
        <x:v>3</x:v>
      </x:c>
      <x:c r="L7" t="n">
        <x:v>3</x:v>
      </x:c>
      <x:c r="M7" t="str">
        <x:v>telefone</x:v>
      </x:c>
      <x:c r="N7" t="str">
        <x:v>https://e26.cog.ia.br/eleicoes/pesquisas?cargo=presidente</x:v>
      </x:c>
      <x:c r="O7"/>
    </x:row>
    <x:row r="8" ht="21" customHeight="1">
      <x:c r="A8" t="n">
        <x:v>1</x:v>
      </x:c>
      <x:c r="B8" t="str">
        <x:v>Real Time Big Data</x:v>
      </x:c>
      <x:c r="C8" t="str">
        <x:v>2026-08-27</x:v>
      </x:c>
      <x:c r="D8" t="str">
        <x:v>2026-08-31</x:v>
      </x:c>
      <x:c r="E8"/>
      <x:c r="F8" t="n">
        <x:v>2000</x:v>
      </x:c>
      <x:c r="G8" t="n">
        <x:v>38</x:v>
      </x:c>
      <x:c r="H8" t="n">
        <x:v>30</x:v>
      </x:c>
      <x:c r="I8" t="str">
        <x:v>BR-03490/2026</x:v>
      </x:c>
      <x:c r="J8" t="str">
        <x:v>totais</x:v>
      </x:c>
      <x:c r="K8" t="n">
        <x:v>3</x:v>
      </x:c>
      <x:c r="L8" t="n">
        <x:v>3</x:v>
      </x:c>
      <x:c r="M8" t="str">
        <x:v>telefone</x:v>
      </x:c>
      <x:c r="N8" t="str">
        <x:v>https://e26.cog.ia.br/eleicoes/pesquisas?cargo=presidente</x:v>
      </x:c>
      <x:c r="O8"/>
    </x:row>
    <x:row r="9" ht="21" customHeight="1">
      <x:c r="A9" t="n">
        <x:v>1</x:v>
      </x:c>
      <x:c r="B9" t="str">
        <x:v>Quaest</x:v>
      </x:c>
      <x:c r="C9" t="str">
        <x:v>2026-08-30</x:v>
      </x:c>
      <x:c r="D9" t="str">
        <x:v>2026-09-01</x:v>
      </x:c>
      <x:c r="E9"/>
      <x:c r="F9" t="n">
        <x:v>2004</x:v>
      </x:c>
      <x:c r="G9" t="n">
        <x:v>37</x:v>
      </x:c>
      <x:c r="H9" t="n">
        <x:v>29</x:v>
      </x:c>
      <x:c r="I9" t="str">
        <x:v>BR-07065/2026</x:v>
      </x:c>
      <x:c r="J9" t="str">
        <x:v>totais</x:v>
      </x:c>
      <x:c r="K9" t="n">
        <x:v>7</x:v>
      </x:c>
      <x:c r="L9" t="n">
        <x:v>11</x:v>
      </x:c>
      <x:c r="M9" t="str">
        <x:v>presencial</x:v>
      </x:c>
      <x:c r="N9" t="str">
        <x:v>https://e26.cog.ia.br/eleicoes/pesquisas?cargo=presidente</x:v>
      </x:c>
      <x:c r="O9"/>
    </x:row>
    <x:row r="10" ht="21" customHeight="1">
      <x:c r="A10" t="n">
        <x:v>1</x:v>
      </x:c>
      <x:c r="B10" t="str">
        <x:v>Futura</x:v>
      </x:c>
      <x:c r="C10" t="str">
        <x:v>2026-08-28</x:v>
      </x:c>
      <x:c r="D10" t="str">
        <x:v>2026-09-01</x:v>
      </x:c>
      <x:c r="E10"/>
      <x:c r="F10" t="n">
        <x:v>2000</x:v>
      </x:c>
      <x:c r="G10" t="n">
        <x:v>38.7</x:v>
      </x:c>
      <x:c r="H10" t="n">
        <x:v>33.6</x:v>
      </x:c>
      <x:c r="I10" t="str">
        <x:v>BR-02793/2026</x:v>
      </x:c>
      <x:c r="J10" t="str">
        <x:v>totais</x:v>
      </x:c>
      <x:c r="K10" t="n">
        <x:v>2</x:v>
      </x:c>
      <x:c r="L10" t="n">
        <x:v>4.1</x:v>
      </x:c>
      <x:c r="M10" t="str">
        <x:v>telefone</x:v>
      </x:c>
      <x:c r="N10" t="str">
        <x:v>https://e26.cog.ia.br/eleicoes/pesquisas?cargo=presidente</x:v>
      </x:c>
      <x:c r="O10"/>
    </x:row>
    <x:row r="11" ht="21" customHeight="1">
      <x:c r="A11" t="n">
        <x:v>1</x:v>
      </x:c>
      <x:c r="B11" t="str">
        <x:v>Datafolha</x:v>
      </x:c>
      <x:c r="C11" t="str">
        <x:v>2026-09-01</x:v>
      </x:c>
      <x:c r="D11" t="str">
        <x:v>2026-09-03</x:v>
      </x:c>
      <x:c r="E11"/>
      <x:c r="F11" t="n">
        <x:v>2002</x:v>
      </x:c>
      <x:c r="G11" t="n">
        <x:v>38</x:v>
      </x:c>
      <x:c r="H11" t="n">
        <x:v>33</x:v>
      </x:c>
      <x:c r="I11" t="str">
        <x:v>BR-03669/2026</x:v>
      </x:c>
      <x:c r="J11" t="str">
        <x:v>totais</x:v>
      </x:c>
      <x:c r="K11"/>
      <x:c r="L11"/>
      <x:c r="M11" t="str">
        <x:v>presencial</x:v>
      </x:c>
      <x:c r="N11" t="str">
        <x:v>https://e26.cog.ia.br/eleicoes/pesquisas?cargo=presidente</x:v>
      </x:c>
      <x:c r="O11"/>
    </x:row>
    <x:row r="12" ht="21" customHeight="1">
      <x:c r="A12" t="n">
        <x:v>1</x:v>
      </x:c>
      <x:c r="B12" t="str">
        <x:v>Quaest</x:v>
      </x:c>
      <x:c r="C12" t="str">
        <x:v>2026-09-03</x:v>
      </x:c>
      <x:c r="D12" t="str">
        <x:v>2026-09-06</x:v>
      </x:c>
      <x:c r="E12"/>
      <x:c r="F12" t="n">
        <x:v>2004</x:v>
      </x:c>
      <x:c r="G12" t="n">
        <x:v>36</x:v>
      </x:c>
      <x:c r="H12" t="n">
        <x:v>29</x:v>
      </x:c>
      <x:c r="I12" t="str">
        <x:v>BR-01720/2026</x:v>
      </x:c>
      <x:c r="J12" t="str">
        <x:v>totais</x:v>
      </x:c>
      <x:c r="K12"/>
      <x:c r="L12"/>
      <x:c r="M12" t="str">
        <x:v>presencial</x:v>
      </x:c>
      <x:c r="N12" t="str">
        <x:v>https://e26.cog.ia.br/eleicoes/pesquisas?cargo=presidente</x:v>
      </x:c>
      <x:c r="O12"/>
    </x:row>
    <x:row r="13" ht="21" customHeight="1">
      <x:c r="A13" t="n">
        <x:v>1</x:v>
      </x:c>
      <x:c r="B13" t="str">
        <x:v>Nexus</x:v>
      </x:c>
      <x:c r="C13" t="str">
        <x:v>2026-09-04</x:v>
      </x:c>
      <x:c r="D13" t="str">
        <x:v>2026-09-07</x:v>
      </x:c>
      <x:c r="E13"/>
      <x:c r="F13" t="n">
        <x:v>2000</x:v>
      </x:c>
      <x:c r="G13" t="n">
        <x:v>39</x:v>
      </x:c>
      <x:c r="H13" t="n">
        <x:v>35</x:v>
      </x:c>
      <x:c r="I13" t="str">
        <x:v>BR-06790/2026</x:v>
      </x:c>
      <x:c r="J13" t="str">
        <x:v>totais</x:v>
      </x:c>
      <x:c r="K13" t="n">
        <x:v>3</x:v>
      </x:c>
      <x:c r="L13" t="n">
        <x:v>2</x:v>
      </x:c>
      <x:c r="M13" t="str">
        <x:v>telefone</x:v>
      </x:c>
      <x:c r="N13" t="str">
        <x:v>https://e26.cog.ia.br/eleicoes/pesquisas?cargo=presidente</x:v>
      </x:c>
      <x:c r="O13"/>
    </x:row>
    <x:row r="14" ht="21" customHeight="1">
      <x:c r="A14" t="n">
        <x:v>1</x:v>
      </x:c>
      <x:c r="B14" t="str">
        <x:v>Ideia</x:v>
      </x:c>
      <x:c r="C14" t="str">
        <x:v>2026-09-04</x:v>
      </x:c>
      <x:c r="D14" t="str">
        <x:v>2026-09-07</x:v>
      </x:c>
      <x:c r="E14"/>
      <x:c r="F14" t="n">
        <x:v>1500</x:v>
      </x:c>
      <x:c r="G14" t="n">
        <x:v>38.4</x:v>
      </x:c>
      <x:c r="H14" t="n">
        <x:v>37.3</x:v>
      </x:c>
      <x:c r="I14" t="str">
        <x:v>BR-07935/2026</x:v>
      </x:c>
      <x:c r="J14" t="str">
        <x:v>totais</x:v>
      </x:c>
      <x:c r="K14" t="n">
        <x:v>2.5</x:v>
      </x:c>
      <x:c r="L14" t="n">
        <x:v>2.8</x:v>
      </x:c>
      <x:c r="M14" t="str">
        <x:v>telefone</x:v>
      </x:c>
      <x:c r="N14" t="str">
        <x:v>https://e26.cog.ia.br/eleicoes/pesquisas?cargo=presidente</x:v>
      </x:c>
      <x:c r="O14"/>
    </x:row>
    <x:row r="15" ht="21" customHeight="1">
      <x:c r="A15" t="n">
        <x:v>1</x:v>
      </x:c>
      <x:c r="B15" t="str">
        <x:v>Gerp</x:v>
      </x:c>
      <x:c r="C15" t="str">
        <x:v>2026-09-03</x:v>
      </x:c>
      <x:c r="D15" t="str">
        <x:v>2026-09-08</x:v>
      </x:c>
      <x:c r="E15"/>
      <x:c r="F15" t="n">
        <x:v>2400</x:v>
      </x:c>
      <x:c r="G15" t="n">
        <x:v>34</x:v>
      </x:c>
      <x:c r="H15" t="n">
        <x:v>37</x:v>
      </x:c>
      <x:c r="I15" t="str">
        <x:v>BR-00251/2026</x:v>
      </x:c>
      <x:c r="J15" t="str">
        <x:v>totais</x:v>
      </x:c>
      <x:c r="K15" t="n">
        <x:v>4</x:v>
      </x:c>
      <x:c r="L15" t="n">
        <x:v>8</x:v>
      </x:c>
      <x:c r="M15" t="str">
        <x:v>telefone</x:v>
      </x:c>
      <x:c r="N15" t="str">
        <x:v>https://e26.cog.ia.br/eleicoes/pesquisas?cargo=presidente</x:v>
      </x:c>
      <x:c r="O15"/>
    </x:row>
    <x:row r="16" ht="21" customHeight="1">
      <x:c r="A16" t="n">
        <x:v>1</x:v>
      </x:c>
      <x:c r="B16" t="str">
        <x:v>Palver</x:v>
      </x:c>
      <x:c r="C16" t="str">
        <x:v>2026-09-04</x:v>
      </x:c>
      <x:c r="D16" t="str">
        <x:v>2026-09-08</x:v>
      </x:c>
      <x:c r="E16"/>
      <x:c r="F16" t="n">
        <x:v>5000</x:v>
      </x:c>
      <x:c r="G16" t="n">
        <x:v>40</x:v>
      </x:c>
      <x:c r="H16" t="n">
        <x:v>40</x:v>
      </x:c>
      <x:c r="I16" t="str">
        <x:v>BR-05420/2026</x:v>
      </x:c>
      <x:c r="J16" t="str">
        <x:v>totais</x:v>
      </x:c>
      <x:c r="K16"/>
      <x:c r="L16"/>
      <x:c r="M16" t="str">
        <x:v>online</x:v>
      </x:c>
      <x:c r="N16" t="str">
        <x:v>https://e26.cog.ia.br/eleicoes/pesquisas?cargo=presidente</x:v>
      </x:c>
      <x:c r="O16"/>
    </x:row>
    <x:row r="17" ht="21" customHeight="1">
      <x:c r="A17" t="n">
        <x:v>1</x:v>
      </x:c>
      <x:c r="B17" t="str">
        <x:v>AtlasIntel</x:v>
      </x:c>
      <x:c r="C17" t="str">
        <x:v>2026-09-04</x:v>
      </x:c>
      <x:c r="D17" t="str">
        <x:v>2026-09-09</x:v>
      </x:c>
      <x:c r="E17"/>
      <x:c r="F17" t="n">
        <x:v>5000</x:v>
      </x:c>
      <x:c r="G17" t="n">
        <x:v>43</x:v>
      </x:c>
      <x:c r="H17" t="n">
        <x:v>37.4</x:v>
      </x:c>
      <x:c r="I17" t="str">
        <x:v>BR-01452/2026</x:v>
      </x:c>
      <x:c r="J17" t="str">
        <x:v>totais</x:v>
      </x:c>
      <x:c r="K17"/>
      <x:c r="L17"/>
      <x:c r="M17" t="str">
        <x:v>online</x:v>
      </x:c>
      <x:c r="N17" t="str">
        <x:v>https://e26.cog.ia.br/eleicoes/pesquisas?cargo=presidente</x:v>
      </x:c>
      <x:c r="O17"/>
    </x:row>
    <x:row r="18" ht="21" customHeight="1">
      <x:c r="A18" t="n">
        <x:v>1</x:v>
      </x:c>
      <x:c r="B18" t="str">
        <x:v>PoderData</x:v>
      </x:c>
      <x:c r="C18" t="str">
        <x:v>2026-09-06</x:v>
      </x:c>
      <x:c r="D18" t="str">
        <x:v>2026-09-09</x:v>
      </x:c>
      <x:c r="E18"/>
      <x:c r="F18" t="n">
        <x:v>3000</x:v>
      </x:c>
      <x:c r="G18" t="n">
        <x:v>38</x:v>
      </x:c>
      <x:c r="H18" t="n">
        <x:v>36</x:v>
      </x:c>
      <x:c r="I18" t="str">
        <x:v>BR-04914/2026</x:v>
      </x:c>
      <x:c r="J18" t="str">
        <x:v>totais</x:v>
      </x:c>
      <x:c r="K18"/>
      <x:c r="L18"/>
      <x:c r="M18" t="str">
        <x:v>telefone</x:v>
      </x:c>
      <x:c r="N18" t="str">
        <x:v>https://e26.cog.ia.br/eleicoes/pesquisas?cargo=presidente</x:v>
      </x:c>
      <x:c r="O18"/>
    </x:row>
    <x:row r="19" ht="21" customHeight="1">
      <x:c r="A19" t="n">
        <x:v>1</x:v>
      </x:c>
      <x:c r="B19" t="str">
        <x:v>Datafolha</x:v>
      </x:c>
      <x:c r="C19" t="str">
        <x:v>2026-09-08</x:v>
      </x:c>
      <x:c r="D19" t="str">
        <x:v>2026-09-11</x:v>
      </x:c>
      <x:c r="E19"/>
      <x:c r="F19" t="n">
        <x:v>2002</x:v>
      </x:c>
      <x:c r="G19" t="n">
        <x:v>39</x:v>
      </x:c>
      <x:c r="H19" t="n">
        <x:v>35</x:v>
      </x:c>
      <x:c r="I19" t="str">
        <x:v>BR-01833/2026</x:v>
      </x:c>
      <x:c r="J19" t="str">
        <x:v>totais</x:v>
      </x:c>
      <x:c r="K19" t="n">
        <x:v>6</x:v>
      </x:c>
      <x:c r="L19" t="n">
        <x:v>4</x:v>
      </x:c>
      <x:c r="M19" t="str">
        <x:v>presencial</x:v>
      </x:c>
      <x:c r="N19" t="str">
        <x:v>https://e26.cog.ia.br/eleicoes/pesquisas?cargo=presidente</x:v>
      </x:c>
      <x:c r="O19"/>
    </x:row>
    <x:row r="20" ht="21" customHeight="1">
      <x:c r="A20" t="n">
        <x:v>1</x:v>
      </x:c>
      <x:c r="B20" t="str">
        <x:v>Quaest</x:v>
      </x:c>
      <x:c r="C20" t="str">
        <x:v>2026-09-10</x:v>
      </x:c>
      <x:c r="D20" t="str">
        <x:v>2026-09-13</x:v>
      </x:c>
      <x:c r="E20"/>
      <x:c r="F20" t="n">
        <x:v>2004</x:v>
      </x:c>
      <x:c r="G20" t="n">
        <x:v>36</x:v>
      </x:c>
      <x:c r="H20" t="n">
        <x:v>31</x:v>
      </x:c>
      <x:c r="I20" t="str">
        <x:v>BR-03607/2026</x:v>
      </x:c>
      <x:c r="J20" t="str">
        <x:v>totais</x:v>
      </x:c>
      <x:c r="K20" t="n">
        <x:v>7</x:v>
      </x:c>
      <x:c r="L20" t="n">
        <x:v>10</x:v>
      </x:c>
      <x:c r="M20" t="str">
        <x:v>presencial</x:v>
      </x:c>
      <x:c r="N20" t="str">
        <x:v>https://e26.cog.ia.br/eleicoes/pesquisas?cargo=presidente</x:v>
      </x:c>
      <x:c r="O20"/>
    </x:row>
    <x:row r="21" ht="21" customHeight="1">
      <x:c r="A21" t="n">
        <x:v>1</x:v>
      </x:c>
      <x:c r="B21" t="str">
        <x:v>Indexa</x:v>
      </x:c>
      <x:c r="C21" t="str">
        <x:v>2026-09-10</x:v>
      </x:c>
      <x:c r="D21" t="str">
        <x:v>2026-09-13</x:v>
      </x:c>
      <x:c r="E21"/>
      <x:c r="F21" t="n">
        <x:v>2000</x:v>
      </x:c>
      <x:c r="G21" t="n">
        <x:v>38</x:v>
      </x:c>
      <x:c r="H21" t="n">
        <x:v>34</x:v>
      </x:c>
      <x:c r="I21" t="str">
        <x:v>BR-03482/2026</x:v>
      </x:c>
      <x:c r="J21" t="str">
        <x:v>totais</x:v>
      </x:c>
      <x:c r="K21"/>
      <x:c r="L21"/>
      <x:c r="M21" t="str">
        <x:v>telefone</x:v>
      </x:c>
      <x:c r="N21" t="str">
        <x:v>https://e26.cog.ia.br/eleicoes/pesquisas?cargo=presidente</x:v>
      </x:c>
      <x:c r="O21"/>
    </x:row>
    <x:row r="22" ht="21" customHeight="1">
      <x:c r="A22" t="n">
        <x:v>1</x:v>
      </x:c>
      <x:c r="B22" t="str">
        <x:v>MDA</x:v>
      </x:c>
      <x:c r="C22" t="str">
        <x:v>2026-09-09</x:v>
      </x:c>
      <x:c r="D22" t="str">
        <x:v>2026-09-13</x:v>
      </x:c>
      <x:c r="E22"/>
      <x:c r="F22" t="n">
        <x:v>2002</x:v>
      </x:c>
      <x:c r="G22" t="n">
        <x:v>40.5</x:v>
      </x:c>
      <x:c r="H22" t="n">
        <x:v>30.4</x:v>
      </x:c>
      <x:c r="I22" t="str">
        <x:v>BR-06902/2026</x:v>
      </x:c>
      <x:c r="J22" t="str">
        <x:v>totais</x:v>
      </x:c>
      <x:c r="K22" t="n">
        <x:v>6</x:v>
      </x:c>
      <x:c r="L22" t="n">
        <x:v>7.5</x:v>
      </x:c>
      <x:c r="M22" t="str">
        <x:v>presencial</x:v>
      </x:c>
      <x:c r="N22" t="str">
        <x:v>https://e26.cog.ia.br/eleicoes/pesquisas?cargo=presidente</x:v>
      </x:c>
      <x:c r="O22"/>
    </x:row>
    <x:row r="23" ht="21" customHeight="1">
      <x:c r="A23" t="n">
        <x:v>1</x:v>
      </x:c>
      <x:c r="B23" t="str">
        <x:v>Gerp</x:v>
      </x:c>
      <x:c r="C23" t="str">
        <x:v>2026-09-14</x:v>
      </x:c>
      <x:c r="D23" t="str">
        <x:v>2026-09-16</x:v>
      </x:c>
      <x:c r="E23"/>
      <x:c r="F23" t="n">
        <x:v>2400</x:v>
      </x:c>
      <x:c r="G23" t="n">
        <x:v>37</x:v>
      </x:c>
      <x:c r="H23" t="n">
        <x:v>40</x:v>
      </x:c>
      <x:c r="I23" t="str">
        <x:v>BR-00535/2026</x:v>
      </x:c>
      <x:c r="J23" t="str">
        <x:v>totais</x:v>
      </x:c>
      <x:c r="K23" t="n">
        <x:v>4</x:v>
      </x:c>
      <x:c r="L23" t="n">
        <x:v>4</x:v>
      </x:c>
      <x:c r="M23" t="str">
        <x:v>telefone</x:v>
      </x:c>
      <x:c r="N23" t="str">
        <x:v>https://e26.cog.ia.br/eleicoes/pesquisas?cargo=presidente</x:v>
      </x:c>
      <x:c r="O23"/>
    </x:row>
    <x:row r="24" ht="21" customHeight="1">
      <x:c r="A24" t="n">
        <x:v>1</x:v>
      </x:c>
      <x:c r="B24" t="str">
        <x:v>AtlasIntel</x:v>
      </x:c>
      <x:c r="C24" t="str">
        <x:v>2026-09-11</x:v>
      </x:c>
      <x:c r="D24" t="str">
        <x:v>2026-09-16</x:v>
      </x:c>
      <x:c r="E24"/>
      <x:c r="F24" t="n">
        <x:v>5000</x:v>
      </x:c>
      <x:c r="G24" t="n">
        <x:v>44.1</x:v>
      </x:c>
      <x:c r="H24" t="n">
        <x:v>41.7</x:v>
      </x:c>
      <x:c r="I24" t="str">
        <x:v>BR-06221/2026</x:v>
      </x:c>
      <x:c r="J24" t="str">
        <x:v>totais</x:v>
      </x:c>
      <x:c r="K24"/>
      <x:c r="L24"/>
      <x:c r="M24" t="str">
        <x:v>online</x:v>
      </x:c>
      <x:c r="N24" t="str">
        <x:v>https://e26.cog.ia.br/eleicoes/pesquisas?cargo=presidente</x:v>
      </x:c>
      <x:c r="O24"/>
    </x:row>
    <x:row r="25" ht="21" customHeight="1">
      <x:c r="A25" t="n">
        <x:v>1</x:v>
      </x:c>
      <x:c r="B25" t="str">
        <x:v>Futura</x:v>
      </x:c>
      <x:c r="C25" t="str">
        <x:v>2026-09-11</x:v>
      </x:c>
      <x:c r="D25" t="str">
        <x:v>2026-09-17</x:v>
      </x:c>
      <x:c r="E25"/>
      <x:c r="F25" t="n">
        <x:v>2000</x:v>
      </x:c>
      <x:c r="G25" t="n">
        <x:v>38.3</x:v>
      </x:c>
      <x:c r="H25" t="n">
        <x:v>37.7</x:v>
      </x:c>
      <x:c r="I25" t="str">
        <x:v>BR-00749/2026</x:v>
      </x:c>
      <x:c r="J25" t="str">
        <x:v>totais</x:v>
      </x:c>
      <x:c r="K25"/>
      <x:c r="L25"/>
      <x:c r="M25" t="str">
        <x:v>telefone</x:v>
      </x:c>
      <x:c r="N25" t="str">
        <x:v>https://e26.cog.ia.br/eleicoes/pesquisas?cargo=presidente</x:v>
      </x:c>
      <x:c r="O25"/>
    </x:row>
    <x:row r="26" ht="21" customHeight="1">
      <x:c r="A26" t="n">
        <x:v>1</x:v>
      </x:c>
      <x:c r="B26" t="str">
        <x:v>Datafolha</x:v>
      </x:c>
      <x:c r="C26" t="str">
        <x:v>2026-09-15</x:v>
      </x:c>
      <x:c r="D26" t="str">
        <x:v>2026-09-17</x:v>
      </x:c>
      <x:c r="E26"/>
      <x:c r="F26" t="n">
        <x:v>2002</x:v>
      </x:c>
      <x:c r="G26" t="n">
        <x:v>39</x:v>
      </x:c>
      <x:c r="H26" t="n">
        <x:v>36</x:v>
      </x:c>
      <x:c r="I26" t="str">
        <x:v>BR-04029/2026</x:v>
      </x:c>
      <x:c r="J26" t="str">
        <x:v>totais</x:v>
      </x:c>
      <x:c r="K26" t="n">
        <x:v>6</x:v>
      </x:c>
      <x:c r="L26" t="n">
        <x:v>3</x:v>
      </x:c>
      <x:c r="M26" t="str">
        <x:v>presencial</x:v>
      </x:c>
      <x:c r="N26" t="str">
        <x:v>https://e26.cog.ia.br/eleicoes/pesquisas?cargo=presidente</x:v>
      </x:c>
      <x:c r="O26"/>
    </x:row>
    <x:row r="27" ht="21" customHeight="1">
      <x:c r="A27" t="n">
        <x:v>1</x:v>
      </x:c>
      <x:c r="B27" t="str">
        <x:v>Nexus</x:v>
      </x:c>
      <x:c r="C27" t="str">
        <x:v>2026-09-18</x:v>
      </x:c>
      <x:c r="D27" t="str">
        <x:v>2026-09-20</x:v>
      </x:c>
      <x:c r="E27"/>
      <x:c r="F27" t="n">
        <x:v>2000</x:v>
      </x:c>
      <x:c r="G27" t="n">
        <x:v>40</x:v>
      </x:c>
      <x:c r="H27" t="n">
        <x:v>37</x:v>
      </x:c>
      <x:c r="I27" t="str">
        <x:v>BR-00485/2026</x:v>
      </x:c>
      <x:c r="J27" t="str">
        <x:v>totais</x:v>
      </x:c>
      <x:c r="K27" t="n">
        <x:v>4</x:v>
      </x:c>
      <x:c r="L27" t="n">
        <x:v>2</x:v>
      </x:c>
      <x:c r="M27" t="str">
        <x:v>telefone</x:v>
      </x:c>
      <x:c r="N27" t="str">
        <x:v>https://e26.cog.ia.br/eleicoes/pesquisas?cargo=presidente</x:v>
      </x:c>
      <x:c r="O27"/>
    </x:row>
    <x:row r="28" ht="21" customHeight="1">
      <x:c r="A28" t="n">
        <x:v>1</x:v>
      </x:c>
      <x:c r="B28" t="str">
        <x:v>Quaest</x:v>
      </x:c>
      <x:c r="C28" t="str">
        <x:v>2026-09-17</x:v>
      </x:c>
      <x:c r="D28" t="str">
        <x:v>2026-09-20</x:v>
      </x:c>
      <x:c r="E28"/>
      <x:c r="F28" t="n">
        <x:v>2004</x:v>
      </x:c>
      <x:c r="G28" t="n">
        <x:v>37</x:v>
      </x:c>
      <x:c r="H28" t="n">
        <x:v>33</x:v>
      </x:c>
      <x:c r="I28" t="str">
        <x:v>BR-06004/2026</x:v>
      </x:c>
      <x:c r="J28" t="str">
        <x:v>totais</x:v>
      </x:c>
      <x:c r="K28" t="n">
        <x:v>7</x:v>
      </x:c>
      <x:c r="L28" t="n">
        <x:v>8</x:v>
      </x:c>
      <x:c r="M28" t="str">
        <x:v>presencial</x:v>
      </x:c>
      <x:c r="N28" t="str">
        <x:v>https://e26.cog.ia.br/eleicoes/pesquisas?cargo=presidente</x:v>
      </x:c>
      <x:c r="O28"/>
    </x:row>
    <x:row r="29" ht="21" customHeight="1">
      <x:c r="A29" t="n">
        <x:v>1</x:v>
      </x:c>
      <x:c r="B29" t="str">
        <x:v>AtlasIntel</x:v>
      </x:c>
      <x:c r="C29" t="str">
        <x:v>2026-09-17</x:v>
      </x:c>
      <x:c r="D29" t="str">
        <x:v>2026-09-22</x:v>
      </x:c>
      <x:c r="E29"/>
      <x:c r="F29" t="n">
        <x:v>5000</x:v>
      </x:c>
      <x:c r="G29" t="n">
        <x:v>45.8</x:v>
      </x:c>
      <x:c r="H29" t="n">
        <x:v>43.4</x:v>
      </x:c>
      <x:c r="I29" t="str">
        <x:v>BR-04739/2026</x:v>
      </x:c>
      <x:c r="J29" t="str">
        <x:v>totais</x:v>
      </x:c>
      <x:c r="K29" t="n">
        <x:v>0.7</x:v>
      </x:c>
      <x:c r="L29" t="n">
        <x:v>0.5</x:v>
      </x:c>
      <x:c r="M29" t="str">
        <x:v>online</x:v>
      </x:c>
      <x:c r="N29" t="str">
        <x:v>https://e26.cog.ia.br/eleicoes/pesquisas?cargo=presidente</x:v>
      </x:c>
      <x:c r="O29"/>
    </x:row>
    <x:row r="30" ht="21" customHeight="1">
      <x:c r="A30" t="n">
        <x:v>1</x:v>
      </x:c>
      <x:c r="B30" t="str">
        <x:v>PoderData</x:v>
      </x:c>
      <x:c r="C30" t="str">
        <x:v>2026-09-20</x:v>
      </x:c>
      <x:c r="D30" t="str">
        <x:v>2026-09-23</x:v>
      </x:c>
      <x:c r="E30"/>
      <x:c r="F30" t="n">
        <x:v>3000</x:v>
      </x:c>
      <x:c r="G30" t="n">
        <x:v>41</x:v>
      </x:c>
      <x:c r="H30" t="n">
        <x:v>39</x:v>
      </x:c>
      <x:c r="I30" t="str">
        <x:v>BR-01739/2026</x:v>
      </x:c>
      <x:c r="J30" t="str">
        <x:v>totais</x:v>
      </x:c>
      <x:c r="K30"/>
      <x:c r="L30"/>
      <x:c r="M30" t="str">
        <x:v>telefone</x:v>
      </x:c>
      <x:c r="N30" t="str">
        <x:v>https://e26.cog.ia.br/eleicoes/pesquisas?cargo=presidente</x:v>
      </x:c>
      <x:c r="O30"/>
    </x:row>
    <x:row r="31" ht="21" customHeight="1">
      <x:c r="A31" t="n">
        <x:v>1</x:v>
      </x:c>
      <x:c r="B31" t="str">
        <x:v>Real Time Big Data</x:v>
      </x:c>
      <x:c r="C31" t="str">
        <x:v>2026-09-19</x:v>
      </x:c>
      <x:c r="D31" t="str">
        <x:v>2026-09-23</x:v>
      </x:c>
      <x:c r="E31"/>
      <x:c r="F31" t="n">
        <x:v>2000</x:v>
      </x:c>
      <x:c r="G31" t="n">
        <x:v>41</x:v>
      </x:c>
      <x:c r="H31" t="n">
        <x:v>37</x:v>
      </x:c>
      <x:c r="I31" t="str">
        <x:v>BR-04202/2026</x:v>
      </x:c>
      <x:c r="J31" t="str">
        <x:v>totais</x:v>
      </x:c>
      <x:c r="K31" t="n">
        <x:v>3</x:v>
      </x:c>
      <x:c r="L31" t="n">
        <x:v>3</x:v>
      </x:c>
      <x:c r="M31" t="str">
        <x:v>telefone</x:v>
      </x:c>
      <x:c r="N31" t="str">
        <x:v>https://e26.cog.ia.br/eleicoes/pesquisas?cargo=presidente</x:v>
      </x:c>
      <x:c r="O31"/>
    </x:row>
    <x:row r="32" ht="21" customHeight="1">
      <x:c r="A32" t="n">
        <x:v>1</x:v>
      </x:c>
      <x:c r="B32" t="str">
        <x:v>Palver</x:v>
      </x:c>
      <x:c r="C32" t="str">
        <x:v>2026-09-20</x:v>
      </x:c>
      <x:c r="D32" t="str">
        <x:v>2026-09-23</x:v>
      </x:c>
      <x:c r="E32"/>
      <x:c r="F32" t="n">
        <x:v>5000</x:v>
      </x:c>
      <x:c r="G32" t="n">
        <x:v>43</x:v>
      </x:c>
      <x:c r="H32" t="n">
        <x:v>43</x:v>
      </x:c>
      <x:c r="I32" t="str">
        <x:v>BR-09587/2026</x:v>
      </x:c>
      <x:c r="J32" t="str">
        <x:v>totais</x:v>
      </x:c>
      <x:c r="K32" t="n">
        <x:v>1</x:v>
      </x:c>
      <x:c r="L32" t="n">
        <x:v>1</x:v>
      </x:c>
      <x:c r="M32" t="str">
        <x:v>online</x:v>
      </x:c>
      <x:c r="N32" t="str">
        <x:v>https://e26.cog.ia.br/eleicoes/pesquisas?cargo=presidente</x:v>
      </x:c>
      <x:c r="O32"/>
    </x:row>
    <x:row r="33" ht="21" customHeight="1">
      <x:c r="A33" t="n">
        <x:v>1</x:v>
      </x:c>
      <x:c r="B33" t="str">
        <x:v>Datafolha</x:v>
      </x:c>
      <x:c r="C33" t="str">
        <x:v>2026-09-22</x:v>
      </x:c>
      <x:c r="D33" t="str">
        <x:v>2026-09-24</x:v>
      </x:c>
      <x:c r="E33"/>
      <x:c r="F33" t="n">
        <x:v>2002</x:v>
      </x:c>
      <x:c r="G33" t="n">
        <x:v>40</x:v>
      </x:c>
      <x:c r="H33" t="n">
        <x:v>36</x:v>
      </x:c>
      <x:c r="I33" t="str">
        <x:v>BR-00304/2026</x:v>
      </x:c>
      <x:c r="J33" t="str">
        <x:v>totais</x:v>
      </x:c>
      <x:c r="K33" t="n">
        <x:v>5</x:v>
      </x:c>
      <x:c r="L33" t="n">
        <x:v>2</x:v>
      </x:c>
      <x:c r="M33" t="str">
        <x:v>presencial</x:v>
      </x:c>
      <x:c r="N33" t="str">
        <x:v>https://e26.cog.ia.br/eleicoes/pesquisas?cargo=presidente</x:v>
      </x:c>
      <x:c r="O33"/>
    </x:row>
    <x:row r="34" ht="21" customHeight="1">
      <x:c r="A34" t="n">
        <x:v>1</x:v>
      </x:c>
      <x:c r="B34" t="str">
        <x:v>Futura</x:v>
      </x:c>
      <x:c r="C34" t="str">
        <x:v>2026-09-18</x:v>
      </x:c>
      <x:c r="D34" t="str">
        <x:v>2026-09-24</x:v>
      </x:c>
      <x:c r="E34"/>
      <x:c r="F34" t="n">
        <x:v>2000</x:v>
      </x:c>
      <x:c r="G34" t="n">
        <x:v>38.4</x:v>
      </x:c>
      <x:c r="H34" t="n">
        <x:v>40.4</x:v>
      </x:c>
      <x:c r="I34" t="str">
        <x:v>BR-05268/2026</x:v>
      </x:c>
      <x:c r="J34" t="str">
        <x:v>totais</x:v>
      </x:c>
      <x:c r="K34" t="n">
        <x:v>2.1</x:v>
      </x:c>
      <x:c r="L34" t="n">
        <x:v>3.2</x:v>
      </x:c>
      <x:c r="M34" t="str">
        <x:v>telefone</x:v>
      </x:c>
      <x:c r="N34" t="str">
        <x:v>https://e26.cog.ia.br/eleicoes/pesquisas?cargo=presidente</x:v>
      </x:c>
      <x:c r="O34"/>
    </x:row>
    <x:row r="35" ht="21" customHeight="1">
      <x:c r="A35" t="n">
        <x:v>1</x:v>
      </x:c>
      <x:c r="B35" t="str">
        <x:v>Nexus</x:v>
      </x:c>
      <x:c r="C35" t="str">
        <x:v>2026-09-25</x:v>
      </x:c>
      <x:c r="D35" t="str">
        <x:v>2026-09-27</x:v>
      </x:c>
      <x:c r="E35"/>
      <x:c r="F35" t="n">
        <x:v>2000</x:v>
      </x:c>
      <x:c r="G35" t="n">
        <x:v>42</x:v>
      </x:c>
      <x:c r="H35" t="n">
        <x:v>37</x:v>
      </x:c>
      <x:c r="I35" t="str">
        <x:v>BR-07557/2026</x:v>
      </x:c>
      <x:c r="J35" t="str">
        <x:v>totais</x:v>
      </x:c>
      <x:c r="K35" t="n">
        <x:v>3</x:v>
      </x:c>
      <x:c r="L35" t="n">
        <x:v>2</x:v>
      </x:c>
      <x:c r="M35" t="str">
        <x:v>telefone</x:v>
      </x:c>
      <x:c r="N35" t="str">
        <x:v>https://e26.cog.ia.br/eleicoes/pesquisas?cargo=presidente</x:v>
      </x:c>
      <x:c r="O35"/>
    </x:row>
    <x:row r="36" ht="21" customHeight="1">
      <x:c r="A36" t="n">
        <x:v>1</x:v>
      </x:c>
      <x:c r="B36" t="str">
        <x:v>Ideia</x:v>
      </x:c>
      <x:c r="C36" t="str">
        <x:v>2026-09-25</x:v>
      </x:c>
      <x:c r="D36" t="str">
        <x:v>2026-09-28</x:v>
      </x:c>
      <x:c r="E36"/>
      <x:c r="F36" t="n">
        <x:v>2000</x:v>
      </x:c>
      <x:c r="G36" t="n">
        <x:v>39.4</x:v>
      </x:c>
      <x:c r="H36" t="n">
        <x:v>38.4</x:v>
      </x:c>
      <x:c r="I36" t="str">
        <x:v>BR-08706/2026</x:v>
      </x:c>
      <x:c r="J36" t="str">
        <x:v>totais</x:v>
      </x:c>
      <x:c r="K36" t="n">
        <x:v>0.7</x:v>
      </x:c>
      <x:c r="L36" t="n">
        <x:v>1.5</x:v>
      </x:c>
      <x:c r="M36" t="str">
        <x:v>telefone</x:v>
      </x:c>
      <x:c r="N36" t="str">
        <x:v>https://e26.cog.ia.br/eleicoes/pesquisas?cargo=presidente</x:v>
      </x:c>
      <x:c r="O36"/>
    </x:row>
    <x:row r="37" ht="21" customHeight="1">
      <x:c r="A37" t="n">
        <x:v>1</x:v>
      </x:c>
      <x:c r="B37" t="str">
        <x:v>Indexa</x:v>
      </x:c>
      <x:c r="C37" t="str">
        <x:v>2026-09-27</x:v>
      </x:c>
      <x:c r="D37" t="str">
        <x:v>2026-09-29</x:v>
      </x:c>
      <x:c r="E37"/>
      <x:c r="F37" t="n">
        <x:v>2000</x:v>
      </x:c>
      <x:c r="G37" t="n">
        <x:v>39</x:v>
      </x:c>
      <x:c r="H37" t="n">
        <x:v>34</x:v>
      </x:c>
      <x:c r="I37" t="str">
        <x:v>BR-00698/2026</x:v>
      </x:c>
      <x:c r="J37" t="str">
        <x:v>totais</x:v>
      </x:c>
      <x:c r="K37" t="n">
        <x:v>8</x:v>
      </x:c>
      <x:c r="L37" t="n">
        <x:v>7</x:v>
      </x:c>
      <x:c r="M37" t="str">
        <x:v>telefone</x:v>
      </x:c>
      <x:c r="N37" t="str">
        <x:v>https://e26.cog.ia.br/eleicoes/pesquisas?cargo=presidente</x:v>
      </x:c>
      <x:c r="O37"/>
    </x:row>
    <x:row r="38" ht="21" customHeight="1">
      <x:c r="A38" t="n">
        <x:v>1</x:v>
      </x:c>
      <x:c r="B38" t="str">
        <x:v>Futura</x:v>
      </x:c>
      <x:c r="C38" t="str">
        <x:v>2026-09-24</x:v>
      </x:c>
      <x:c r="D38" t="str">
        <x:v>2026-09-29</x:v>
      </x:c>
      <x:c r="E38"/>
      <x:c r="F38" t="n">
        <x:v>2000</x:v>
      </x:c>
      <x:c r="G38" t="n">
        <x:v>39.4</x:v>
      </x:c>
      <x:c r="H38" t="n">
        <x:v>42.2</x:v>
      </x:c>
      <x:c r="I38" t="str">
        <x:v>BR-01122/2026</x:v>
      </x:c>
      <x:c r="J38" t="str">
        <x:v>totais</x:v>
      </x:c>
      <x:c r="K38" t="n">
        <x:v>2.4</x:v>
      </x:c>
      <x:c r="L38" t="n">
        <x:v>2.6</x:v>
      </x:c>
      <x:c r="M38" t="str">
        <x:v>telefone</x:v>
      </x:c>
      <x:c r="N38" t="str">
        <x:v>https://e26.cog.ia.br/eleicoes/pesquisas?cargo=presidente</x:v>
      </x:c>
      <x:c r="O38"/>
    </x:row>
    <x:row r="39" ht="21" customHeight="1">
      <x:c r="A39" t="n">
        <x:v>1</x:v>
      </x:c>
      <x:c r="B39" t="str">
        <x:v>Real Time Big Data</x:v>
      </x:c>
      <x:c r="C39" t="str">
        <x:v>2026-09-26</x:v>
      </x:c>
      <x:c r="D39" t="str">
        <x:v>2026-09-30</x:v>
      </x:c>
      <x:c r="E39"/>
      <x:c r="F39" t="n">
        <x:v>2000</x:v>
      </x:c>
      <x:c r="G39" t="n">
        <x:v>43</x:v>
      </x:c>
      <x:c r="H39" t="n">
        <x:v>39</x:v>
      </x:c>
      <x:c r="I39" t="str">
        <x:v>BR-09503/2026</x:v>
      </x:c>
      <x:c r="J39" t="str">
        <x:v>totais</x:v>
      </x:c>
      <x:c r="K39" t="n">
        <x:v>3</x:v>
      </x:c>
      <x:c r="L39" t="n">
        <x:v>3</x:v>
      </x:c>
      <x:c r="M39" t="str">
        <x:v>telefone</x:v>
      </x:c>
      <x:c r="N39" t="str">
        <x:v>https://e26.cog.ia.br/eleicoes/pesquisas?cargo=presidente</x:v>
      </x:c>
      <x:c r="O39"/>
    </x:row>
    <x:row r="40" ht="21" customHeight="1">
      <x:c r="A40" t="n">
        <x:v>1</x:v>
      </x:c>
      <x:c r="B40" t="str">
        <x:v>Vox Brasil</x:v>
      </x:c>
      <x:c r="C40" t="str">
        <x:v>2026-09-29</x:v>
      </x:c>
      <x:c r="D40" t="str">
        <x:v>2026-10-01</x:v>
      </x:c>
      <x:c r="E40"/>
      <x:c r="F40" t="n">
        <x:v>2100</x:v>
      </x:c>
      <x:c r="G40" t="n">
        <x:v>40.4</x:v>
      </x:c>
      <x:c r="H40" t="n">
        <x:v>41.2</x:v>
      </x:c>
      <x:c r="I40" t="str">
        <x:v>BR-00148/2026</x:v>
      </x:c>
      <x:c r="J40" t="str">
        <x:v>totais</x:v>
      </x:c>
      <x:c r="K40" t="n">
        <x:v>3.2</x:v>
      </x:c>
      <x:c r="L40" t="n">
        <x:v>7</x:v>
      </x:c>
      <x:c r="M40" t="str">
        <x:v>presencial</x:v>
      </x:c>
      <x:c r="N40" t="str">
        <x:v>https://e26.cog.ia.br/eleicoes/pesquisas?cargo=presidente</x:v>
      </x:c>
      <x:c r="O40"/>
    </x:row>
    <x:row r="41" ht="21" customHeight="1">
      <x:c r="A41" t="n">
        <x:v>1</x:v>
      </x:c>
      <x:c r="B41" t="str">
        <x:v>Gerp</x:v>
      </x:c>
      <x:c r="C41" t="str">
        <x:v>2026-09-30</x:v>
      </x:c>
      <x:c r="D41" t="str">
        <x:v>2026-10-02</x:v>
      </x:c>
      <x:c r="E41"/>
      <x:c r="F41" t="n">
        <x:v>2400</x:v>
      </x:c>
      <x:c r="G41" t="n">
        <x:v>44</x:v>
      </x:c>
      <x:c r="H41" t="n">
        <x:v>46</x:v>
      </x:c>
      <x:c r="I41" t="str">
        <x:v>BR-00509/2026</x:v>
      </x:c>
      <x:c r="J41" t="str">
        <x:v>validos</x:v>
      </x:c>
      <x:c r="K41"/>
      <x:c r="L41"/>
      <x:c r="M41" t="str">
        <x:v>telefone</x:v>
      </x:c>
      <x:c r="N41" t="str">
        <x:v>https://e26.cog.ia.br/eleicoes/pesquisas?cargo=presidente</x:v>
      </x:c>
      <x:c r="O41"/>
    </x:row>
    <x:row r="42" ht="21" customHeight="1">
      <x:c r="A42" t="n">
        <x:v>1</x:v>
      </x:c>
      <x:c r="B42" t="str">
        <x:v>AtlasIntel</x:v>
      </x:c>
      <x:c r="C42" t="str">
        <x:v>2026-09-27</x:v>
      </x:c>
      <x:c r="D42" t="str">
        <x:v>2026-10-02</x:v>
      </x:c>
      <x:c r="E42"/>
      <x:c r="F42" t="n">
        <x:v>5000</x:v>
      </x:c>
      <x:c r="G42" t="n">
        <x:v>46.7</x:v>
      </x:c>
      <x:c r="H42" t="n">
        <x:v>43.8</x:v>
      </x:c>
      <x:c r="I42" t="str">
        <x:v>BR-00999/2026</x:v>
      </x:c>
      <x:c r="J42" t="str">
        <x:v>totais</x:v>
      </x:c>
      <x:c r="K42" t="n">
        <x:v>0.3</x:v>
      </x:c>
      <x:c r="L42" t="n">
        <x:v>0.3</x:v>
      </x:c>
      <x:c r="M42" t="str">
        <x:v>online</x:v>
      </x:c>
      <x:c r="N42" t="str">
        <x:v>https://e26.cog.ia.br/eleicoes/pesquisas?cargo=presidente</x:v>
      </x:c>
      <x:c r="O42"/>
    </x:row>
    <x:row r="43" ht="21" customHeight="1">
      <x:c r="A43" t="n">
        <x:v>1</x:v>
      </x:c>
      <x:c r="B43" t="str">
        <x:v>PoderData</x:v>
      </x:c>
      <x:c r="C43" t="str">
        <x:v>2026-09-30</x:v>
      </x:c>
      <x:c r="D43" t="str">
        <x:v>2026-10-02</x:v>
      </x:c>
      <x:c r="E43"/>
      <x:c r="F43" t="n">
        <x:v>4000</x:v>
      </x:c>
      <x:c r="G43" t="n">
        <x:v>42</x:v>
      </x:c>
      <x:c r="H43" t="n">
        <x:v>41</x:v>
      </x:c>
      <x:c r="I43" t="str">
        <x:v>BR-03519/2026</x:v>
      </x:c>
      <x:c r="J43" t="str">
        <x:v>totais</x:v>
      </x:c>
      <x:c r="K43" t="n">
        <x:v>4</x:v>
      </x:c>
      <x:c r="L43" t="n">
        <x:v>2</x:v>
      </x:c>
      <x:c r="M43" t="str">
        <x:v>telefone</x:v>
      </x:c>
      <x:c r="N43" t="str">
        <x:v>https://e26.cog.ia.br/eleicoes/pesquisas?cargo=presidente</x:v>
      </x:c>
      <x:c r="O43"/>
    </x:row>
    <x:row r="44" ht="21" customHeight="1">
      <x:c r="A44" t="n">
        <x:v>1</x:v>
      </x:c>
      <x:c r="B44" t="str">
        <x:v>MDA</x:v>
      </x:c>
      <x:c r="C44" t="str">
        <x:v>2026-09-29</x:v>
      </x:c>
      <x:c r="D44" t="str">
        <x:v>2026-10-02</x:v>
      </x:c>
      <x:c r="E44"/>
      <x:c r="F44" t="n">
        <x:v>2002</x:v>
      </x:c>
      <x:c r="G44" t="n">
        <x:v>43.1</x:v>
      </x:c>
      <x:c r="H44" t="n">
        <x:v>38</x:v>
      </x:c>
      <x:c r="I44" t="str">
        <x:v>BR-04756/2026</x:v>
      </x:c>
      <x:c r="J44" t="str">
        <x:v>totais</x:v>
      </x:c>
      <x:c r="K44" t="n">
        <x:v>5</x:v>
      </x:c>
      <x:c r="L44" t="n">
        <x:v>4.7</x:v>
      </x:c>
      <x:c r="M44" t="str">
        <x:v>presencial</x:v>
      </x:c>
      <x:c r="N44" t="str">
        <x:v>https://e26.cog.ia.br/eleicoes/pesquisas?cargo=presidente</x:v>
      </x:c>
      <x:c r="O44"/>
    </x:row>
    <x:row r="45" ht="21" customHeight="1">
      <x:c r="A45" t="n">
        <x:v>1</x:v>
      </x:c>
      <x:c r="B45" t="str">
        <x:v>Palver</x:v>
      </x:c>
      <x:c r="C45" t="str">
        <x:v>2026-09-30</x:v>
      </x:c>
      <x:c r="D45" t="str">
        <x:v>2026-10-03</x:v>
      </x:c>
      <x:c r="E45"/>
      <x:c r="F45" t="n">
        <x:v>5000</x:v>
      </x:c>
      <x:c r="G45" t="n">
        <x:v>43</x:v>
      </x:c>
      <x:c r="H45" t="n">
        <x:v>47</x:v>
      </x:c>
      <x:c r="I45" t="str">
        <x:v>BR-00198/2026</x:v>
      </x:c>
      <x:c r="J45" t="str">
        <x:v>totais</x:v>
      </x:c>
      <x:c r="K45"/>
      <x:c r="L45"/>
      <x:c r="M45" t="str">
        <x:v>online</x:v>
      </x:c>
      <x:c r="N45" t="str">
        <x:v>https://e26.cog.ia.br/eleicoes/pesquisas?cargo=presidente</x:v>
      </x:c>
      <x:c r="O45" t="str">
        <x:v>Brancos/nulos e indecisos não quantificados (&lt;1% cada); percentuais em votos totais; usar aproximação validada separadamente.</x:v>
      </x:c>
    </x:row>
    <x:row r="46" ht="21" customHeight="1">
      <x:c r="A46" t="n">
        <x:v>1</x:v>
      </x:c>
      <x:c r="B46" t="str">
        <x:v>Datafolha</x:v>
      </x:c>
      <x:c r="C46" t="str">
        <x:v>2026-10-03</x:v>
      </x:c>
      <x:c r="D46" t="str">
        <x:v>2026-10-03</x:v>
      </x:c>
      <x:c r="E46"/>
      <x:c r="F46" t="n">
        <x:v>4006</x:v>
      </x:c>
      <x:c r="G46" t="n">
        <x:v>42</x:v>
      </x:c>
      <x:c r="H46" t="n">
        <x:v>40</x:v>
      </x:c>
      <x:c r="I46" t="str">
        <x:v>BR-01708/2026</x:v>
      </x:c>
      <x:c r="J46" t="str">
        <x:v>totais</x:v>
      </x:c>
      <x:c r="K46" t="n">
        <x:v>4</x:v>
      </x:c>
      <x:c r="L46" t="n">
        <x:v>3</x:v>
      </x:c>
      <x:c r="M46" t="str">
        <x:v>presencial</x:v>
      </x:c>
      <x:c r="N46" t="str">
        <x:v>https://e26.cog.ia.br/eleicoes/pesquisas?cargo=presidente</x:v>
      </x:c>
      <x:c r="O46" t="str">
        <x:v>Datafolha publicou 45% Lula e 42% Flávio em votos válidos; conversão aritmética dos votos totais difere devido a arredondamentos/metodologia.</x:v>
      </x:c>
    </x:row>
    <x:row r="47" ht="21" customHeight="1">
      <x:c r="A47" t="n">
        <x:v>1</x:v>
      </x:c>
      <x:c r="B47" t="str">
        <x:v>Quaest</x:v>
      </x:c>
      <x:c r="C47" t="str">
        <x:v>2026-10-02</x:v>
      </x:c>
      <x:c r="D47" t="str">
        <x:v>2026-10-03</x:v>
      </x:c>
      <x:c r="E47"/>
      <x:c r="F47" t="n">
        <x:v>3702</x:v>
      </x:c>
      <x:c r="G47" t="n">
        <x:v>40</x:v>
      </x:c>
      <x:c r="H47" t="n">
        <x:v>38</x:v>
      </x:c>
      <x:c r="I47" t="str">
        <x:v>BR-02197/2026</x:v>
      </x:c>
      <x:c r="J47" t="str">
        <x:v>totais</x:v>
      </x:c>
      <x:c r="K47" t="n">
        <x:v>10</x:v>
      </x:c>
      <x:c r="L47" t="n">
        <x:v>3</x:v>
      </x:c>
      <x:c r="M47" t="str">
        <x:v>presencial</x:v>
      </x:c>
      <x:c r="N47" t="str">
        <x:v>https://e26.cog.ia.br/eleicoes/pesquisas?cargo=presidente</x:v>
      </x:c>
      <x:c r="O47" t="str">
        <x:v>Quaest publicou votos válidos com modelo likely voter (Lula 46% / Flávio 45%); normalização direta dos totais gera resultado diferente.</x:v>
      </x:c>
    </x:row>
    <x:row r="48" ht="21" customHeight="1">
      <x:c r="A48" t="n">
        <x:v>2</x:v>
      </x:c>
      <x:c r="B48" t="str">
        <x:v>Nexus</x:v>
      </x:c>
      <x:c r="C48" t="str">
        <x:v>2026-09-25</x:v>
      </x:c>
      <x:c r="D48" t="str">
        <x:v>2026-09-27</x:v>
      </x:c>
      <x:c r="E48"/>
      <x:c r="F48" t="n">
        <x:v>2000</x:v>
      </x:c>
      <x:c r="G48" t="n">
        <x:v>46</x:v>
      </x:c>
      <x:c r="H48" t="n">
        <x:v>44</x:v>
      </x:c>
      <x:c r="I48" t="str">
        <x:v>BR-07557/2026</x:v>
      </x:c>
      <x:c r="J48" t="str">
        <x:v>totais</x:v>
      </x:c>
      <x:c r="K48" t="n">
        <x:v>8</x:v>
      </x:c>
      <x:c r="L48" t="n">
        <x:v>1</x:v>
      </x:c>
      <x:c r="M48" t="str">
        <x:v>telefone</x:v>
      </x:c>
      <x:c r="N48" t="str">
        <x:v>https://e26.cog.ia.br/eleicoes/pesquisas?cargo=presidente</x:v>
      </x:c>
      <x:c r="O48"/>
    </x:row>
    <x:row r="49" ht="21" customHeight="1">
      <x:c r="A49" t="n">
        <x:v>2</x:v>
      </x:c>
      <x:c r="B49" t="str">
        <x:v>Ideia</x:v>
      </x:c>
      <x:c r="C49" t="str">
        <x:v>2026-09-25</x:v>
      </x:c>
      <x:c r="D49" t="str">
        <x:v>2026-09-28</x:v>
      </x:c>
      <x:c r="E49"/>
      <x:c r="F49" t="n">
        <x:v>2000</x:v>
      </x:c>
      <x:c r="G49" t="n">
        <x:v>48.5</x:v>
      </x:c>
      <x:c r="H49" t="n">
        <x:v>48</x:v>
      </x:c>
      <x:c r="I49" t="str">
        <x:v>BR-08706/2026</x:v>
      </x:c>
      <x:c r="J49" t="str">
        <x:v>totais</x:v>
      </x:c>
      <x:c r="K49" t="n">
        <x:v>2.1</x:v>
      </x:c>
      <x:c r="L49" t="n">
        <x:v>1.5</x:v>
      </x:c>
      <x:c r="M49" t="str">
        <x:v>telefone</x:v>
      </x:c>
      <x:c r="N49" t="str">
        <x:v>https://e26.cog.ia.br/eleicoes/pesquisas?cargo=presidente</x:v>
      </x:c>
      <x:c r="O49"/>
    </x:row>
    <x:row r="50" ht="21" customHeight="1">
      <x:c r="A50" t="n">
        <x:v>2</x:v>
      </x:c>
      <x:c r="B50" t="str">
        <x:v>Futura</x:v>
      </x:c>
      <x:c r="C50" t="str">
        <x:v>2026-09-24</x:v>
      </x:c>
      <x:c r="D50" t="str">
        <x:v>2026-09-29</x:v>
      </x:c>
      <x:c r="E50"/>
      <x:c r="F50" t="n">
        <x:v>2000</x:v>
      </x:c>
      <x:c r="G50" t="n">
        <x:v>43.5</x:v>
      </x:c>
      <x:c r="H50" t="n">
        <x:v>49</x:v>
      </x:c>
      <x:c r="I50" t="str">
        <x:v>BR-01122/2026</x:v>
      </x:c>
      <x:c r="J50" t="str">
        <x:v>totais</x:v>
      </x:c>
      <x:c r="K50" t="n">
        <x:v>6.2</x:v>
      </x:c>
      <x:c r="L50" t="n">
        <x:v>1.3</x:v>
      </x:c>
      <x:c r="M50" t="str">
        <x:v>telefone</x:v>
      </x:c>
      <x:c r="N50" t="str">
        <x:v>https://e26.cog.ia.br/eleicoes/pesquisas?cargo=presidente</x:v>
      </x:c>
      <x:c r="O50"/>
    </x:row>
    <x:row r="51" ht="21" customHeight="1">
      <x:c r="A51" t="n">
        <x:v>2</x:v>
      </x:c>
      <x:c r="B51" t="str">
        <x:v>Indexa</x:v>
      </x:c>
      <x:c r="C51" t="str">
        <x:v>2026-09-27</x:v>
      </x:c>
      <x:c r="D51" t="str">
        <x:v>2026-09-29</x:v>
      </x:c>
      <x:c r="E51"/>
      <x:c r="F51" t="n">
        <x:v>2000</x:v>
      </x:c>
      <x:c r="G51" t="n">
        <x:v>43</x:v>
      </x:c>
      <x:c r="H51" t="n">
        <x:v>42</x:v>
      </x:c>
      <x:c r="I51" t="str">
        <x:v>BR-00698/2026</x:v>
      </x:c>
      <x:c r="J51" t="str">
        <x:v>totais</x:v>
      </x:c>
      <x:c r="K51" t="n">
        <x:v>11</x:v>
      </x:c>
      <x:c r="L51" t="n">
        <x:v>4</x:v>
      </x:c>
      <x:c r="M51" t="str">
        <x:v>telefone</x:v>
      </x:c>
      <x:c r="N51" t="str">
        <x:v>https://e26.cog.ia.br/eleicoes/pesquisas?cargo=presidente</x:v>
      </x:c>
      <x:c r="O51"/>
    </x:row>
    <x:row r="52" ht="21" customHeight="1">
      <x:c r="A52" t="n">
        <x:v>2</x:v>
      </x:c>
      <x:c r="B52" t="str">
        <x:v>Real Time Big Data</x:v>
      </x:c>
      <x:c r="C52" t="str">
        <x:v>2026-09-26</x:v>
      </x:c>
      <x:c r="D52" t="str">
        <x:v>2026-09-30</x:v>
      </x:c>
      <x:c r="E52"/>
      <x:c r="F52" t="n">
        <x:v>2000</x:v>
      </x:c>
      <x:c r="G52" t="n">
        <x:v>45</x:v>
      </x:c>
      <x:c r="H52" t="n">
        <x:v>46</x:v>
      </x:c>
      <x:c r="I52" t="str">
        <x:v>BR-09503/2026</x:v>
      </x:c>
      <x:c r="J52" t="str">
        <x:v>totais</x:v>
      </x:c>
      <x:c r="K52" t="n">
        <x:v>5</x:v>
      </x:c>
      <x:c r="L52" t="n">
        <x:v>4</x:v>
      </x:c>
      <x:c r="M52" t="str">
        <x:v>telefone</x:v>
      </x:c>
      <x:c r="N52" t="str">
        <x:v>https://e26.cog.ia.br/eleicoes/pesquisas?cargo=presidente</x:v>
      </x:c>
      <x:c r="O52"/>
    </x:row>
    <x:row r="53" ht="21" customHeight="1">
      <x:c r="A53" t="n">
        <x:v>2</x:v>
      </x:c>
      <x:c r="B53" t="str">
        <x:v>Vox Brasil</x:v>
      </x:c>
      <x:c r="C53" t="str">
        <x:v>2026-09-29</x:v>
      </x:c>
      <x:c r="D53" t="str">
        <x:v>2026-10-01</x:v>
      </x:c>
      <x:c r="E53"/>
      <x:c r="F53" t="n">
        <x:v>2100</x:v>
      </x:c>
      <x:c r="G53" t="n">
        <x:v>45.2</x:v>
      </x:c>
      <x:c r="H53" t="n">
        <x:v>48.2</x:v>
      </x:c>
      <x:c r="I53" t="str">
        <x:v>BR-00148/2026</x:v>
      </x:c>
      <x:c r="J53" t="str">
        <x:v>totais</x:v>
      </x:c>
      <x:c r="K53" t="n">
        <x:v>2.5</x:v>
      </x:c>
      <x:c r="L53" t="n">
        <x:v>4.1</x:v>
      </x:c>
      <x:c r="M53" t="str">
        <x:v>presencial</x:v>
      </x:c>
      <x:c r="N53" t="str">
        <x:v>https://e26.cog.ia.br/eleicoes/pesquisas?cargo=presidente</x:v>
      </x:c>
      <x:c r="O53"/>
    </x:row>
    <x:row r="54" ht="21" customHeight="1">
      <x:c r="A54" t="n">
        <x:v>2</x:v>
      </x:c>
      <x:c r="B54" t="str">
        <x:v>MDA</x:v>
      </x:c>
      <x:c r="C54" t="str">
        <x:v>2026-09-29</x:v>
      </x:c>
      <x:c r="D54" t="str">
        <x:v>2026-10-02</x:v>
      </x:c>
      <x:c r="E54"/>
      <x:c r="F54" t="n">
        <x:v>2002</x:v>
      </x:c>
      <x:c r="G54" t="n">
        <x:v>47.3</x:v>
      </x:c>
      <x:c r="H54" t="n">
        <x:v>43.1</x:v>
      </x:c>
      <x:c r="I54" t="str">
        <x:v>BR-04756/2026</x:v>
      </x:c>
      <x:c r="J54" t="str">
        <x:v>totais</x:v>
      </x:c>
      <x:c r="K54" t="n">
        <x:v>7.6</x:v>
      </x:c>
      <x:c r="L54" t="n">
        <x:v>1.9</x:v>
      </x:c>
      <x:c r="M54" t="str">
        <x:v>presencial</x:v>
      </x:c>
      <x:c r="N54" t="str">
        <x:v>https://e26.cog.ia.br/eleicoes/pesquisas?cargo=presidente</x:v>
      </x:c>
      <x:c r="O54"/>
    </x:row>
    <x:row r="55" ht="21" customHeight="1">
      <x:c r="A55" t="n">
        <x:v>2</x:v>
      </x:c>
      <x:c r="B55" t="str">
        <x:v>PoderData</x:v>
      </x:c>
      <x:c r="C55" t="str">
        <x:v>2026-09-30</x:v>
      </x:c>
      <x:c r="D55" t="str">
        <x:v>2026-10-02</x:v>
      </x:c>
      <x:c r="E55"/>
      <x:c r="F55" t="n">
        <x:v>4000</x:v>
      </x:c>
      <x:c r="G55" t="n">
        <x:v>46</x:v>
      </x:c>
      <x:c r="H55" t="n">
        <x:v>46</x:v>
      </x:c>
      <x:c r="I55" t="str">
        <x:v>BR-03519/2026</x:v>
      </x:c>
      <x:c r="J55" t="str">
        <x:v>totais</x:v>
      </x:c>
      <x:c r="K55" t="n">
        <x:v>7</x:v>
      </x:c>
      <x:c r="L55" t="n">
        <x:v>1</x:v>
      </x:c>
      <x:c r="M55" t="str">
        <x:v>telefone</x:v>
      </x:c>
      <x:c r="N55" t="str">
        <x:v>https://e26.cog.ia.br/eleicoes/pesquisas?cargo=presidente</x:v>
      </x:c>
      <x:c r="O55"/>
    </x:row>
    <x:row r="56" ht="21" customHeight="1">
      <x:c r="A56" t="n">
        <x:v>2</x:v>
      </x:c>
      <x:c r="B56" t="str">
        <x:v>AtlasIntel</x:v>
      </x:c>
      <x:c r="C56" t="str">
        <x:v>2026-09-27</x:v>
      </x:c>
      <x:c r="D56" t="str">
        <x:v>2026-10-02</x:v>
      </x:c>
      <x:c r="E56"/>
      <x:c r="F56" t="n">
        <x:v>5000</x:v>
      </x:c>
      <x:c r="G56" t="n">
        <x:v>47.6</x:v>
      </x:c>
      <x:c r="H56" t="n">
        <x:v>47.4</x:v>
      </x:c>
      <x:c r="I56" t="str">
        <x:v>BR-00999/2026</x:v>
      </x:c>
      <x:c r="J56" t="str">
        <x:v>totais</x:v>
      </x:c>
      <x:c r="K56" t="n">
        <x:v>5</x:v>
      </x:c>
      <x:c r="L56"/>
      <x:c r="M56" t="str">
        <x:v>online</x:v>
      </x:c>
      <x:c r="N56" t="str">
        <x:v>https://e26.cog.ia.br/eleicoes/pesquisas?cargo=presidente</x:v>
      </x:c>
      <x:c r="O56"/>
    </x:row>
    <x:row r="57" ht="21" customHeight="1">
      <x:c r="A57" t="n">
        <x:v>2</x:v>
      </x:c>
      <x:c r="B57" t="str">
        <x:v>Palver</x:v>
      </x:c>
      <x:c r="C57" t="str">
        <x:v>2026-09-30</x:v>
      </x:c>
      <x:c r="D57" t="str">
        <x:v>2026-10-03</x:v>
      </x:c>
      <x:c r="E57"/>
      <x:c r="F57" t="n">
        <x:v>5000</x:v>
      </x:c>
      <x:c r="G57" t="n">
        <x:v>44</x:v>
      </x:c>
      <x:c r="H57" t="n">
        <x:v>49</x:v>
      </x:c>
      <x:c r="I57" t="str">
        <x:v>BR-00198/2026</x:v>
      </x:c>
      <x:c r="J57" t="str">
        <x:v>totais</x:v>
      </x:c>
      <x:c r="K57" t="n">
        <x:v>6</x:v>
      </x:c>
      <x:c r="L57" t="n">
        <x:v>1</x:v>
      </x:c>
      <x:c r="M57" t="str">
        <x:v>online</x:v>
      </x:c>
      <x:c r="N57" t="str">
        <x:v>https://e26.cog.ia.br/eleicoes/pesquisas?cargo=presidente</x:v>
      </x:c>
      <x:c r="O57"/>
    </x:row>
    <x:row r="58" ht="21" customHeight="1">
      <x:c r="A58" t="n">
        <x:v>2</x:v>
      </x:c>
      <x:c r="B58" t="str">
        <x:v>Datafolha</x:v>
      </x:c>
      <x:c r="C58" t="str">
        <x:v>2026-10-03</x:v>
      </x:c>
      <x:c r="D58" t="str">
        <x:v>2026-10-03</x:v>
      </x:c>
      <x:c r="E58"/>
      <x:c r="F58" t="n">
        <x:v>4006</x:v>
      </x:c>
      <x:c r="G58" t="n">
        <x:v>47</x:v>
      </x:c>
      <x:c r="H58" t="n">
        <x:v>46</x:v>
      </x:c>
      <x:c r="I58" t="str">
        <x:v>BR-01708/2026</x:v>
      </x:c>
      <x:c r="J58" t="str">
        <x:v>totais</x:v>
      </x:c>
      <x:c r="K58" t="n">
        <x:v>6</x:v>
      </x:c>
      <x:c r="L58" t="n">
        <x:v>2</x:v>
      </x:c>
      <x:c r="M58" t="str">
        <x:v>presencial</x:v>
      </x:c>
      <x:c r="N58" t="str">
        <x:v>https://e26.cog.ia.br/eleicoes/pesquisas?cargo=presidente</x:v>
      </x:c>
      <x:c r="O58"/>
    </x:row>
    <x:row r="59" ht="21" customHeight="1">
      <x:c r="A59" t="n">
        <x:v>2</x:v>
      </x:c>
      <x:c r="B59" t="str">
        <x:v>Quaest</x:v>
      </x:c>
      <x:c r="C59" t="str">
        <x:v>2026-10-02</x:v>
      </x:c>
      <x:c r="D59" t="str">
        <x:v>2026-10-03</x:v>
      </x:c>
      <x:c r="E59"/>
      <x:c r="F59" t="n">
        <x:v>3702</x:v>
      </x:c>
      <x:c r="G59" t="n">
        <x:v>42</x:v>
      </x:c>
      <x:c r="H59" t="n">
        <x:v>44</x:v>
      </x:c>
      <x:c r="I59" t="str">
        <x:v>BR-02197/2026</x:v>
      </x:c>
      <x:c r="J59" t="str">
        <x:v>totais</x:v>
      </x:c>
      <x:c r="K59" t="n">
        <x:v>13</x:v>
      </x:c>
      <x:c r="L59" t="n">
        <x:v>1</x:v>
      </x:c>
      <x:c r="M59" t="str">
        <x:v>presencial</x:v>
      </x:c>
      <x:c r="N59" t="str">
        <x:v>https://e26.cog.ia.br/eleicoes/pesquisas?cargo=presidente</x:v>
      </x:c>
      <x:c r="O59"/>
    </x:row>
    <x:row r="60" ht="21" customHeight="1">
      <x:c r="A60" t="n">
        <x:v>2</x:v>
      </x:c>
      <x:c r="B60" t="str">
        <x:v>PoderData</x:v>
      </x:c>
      <x:c r="C60" t="str">
        <x:v>2026-10-05</x:v>
      </x:c>
      <x:c r="D60" t="str">
        <x:v>2026-10-07</x:v>
      </x:c>
      <x:c r="E60"/>
      <x:c r="F60" t="n">
        <x:v>3000</x:v>
      </x:c>
      <x:c r="G60" t="n">
        <x:v>47</x:v>
      </x:c>
      <x:c r="H60" t="n">
        <x:v>53</x:v>
      </x:c>
      <x:c r="I60" t="str">
        <x:v>BR-08134/2026</x:v>
      </x:c>
      <x:c r="J60" t="str">
        <x:v>validos</x:v>
      </x:c>
      <x:c r="K60"/>
      <x:c r="L60"/>
      <x:c r="M60" t="str">
        <x:v>telefone</x:v>
      </x:c>
      <x:c r="N60" t="str">
        <x:v>https://e26.cog.ia.br/eleicoes/pesquisas?cargo=presidente</x:v>
      </x:c>
      <x:c r="O60"/>
    </x:row>
    <x:row r="61" ht="21" customHeight="1">
      <x:c r="A61" t="n">
        <x:v>2</x:v>
      </x:c>
      <x:c r="B61" t="str">
        <x:v>Datafolha</x:v>
      </x:c>
      <x:c r="C61" t="str">
        <x:v>2026-10-06</x:v>
      </x:c>
      <x:c r="D61" t="str">
        <x:v>2026-10-07</x:v>
      </x:c>
      <x:c r="E61"/>
      <x:c r="F61" t="n">
        <x:v>2520</x:v>
      </x:c>
      <x:c r="G61" t="n">
        <x:v>45</x:v>
      </x:c>
      <x:c r="H61" t="n">
        <x:v>49</x:v>
      </x:c>
      <x:c r="I61" t="str">
        <x:v>BR-02949/2026</x:v>
      </x:c>
      <x:c r="J61" t="str">
        <x:v>totais</x:v>
      </x:c>
      <x:c r="K61" t="n">
        <x:v>5</x:v>
      </x:c>
      <x:c r="L61" t="n">
        <x:v>1</x:v>
      </x:c>
      <x:c r="M61" t="str">
        <x:v>presencial</x:v>
      </x:c>
      <x:c r="N61" t="str">
        <x:v>https://e26.cog.ia.br/eleicoes/pesquisas?cargo=presidente</x:v>
      </x:c>
      <x:c r="O61"/>
    </x:row>
    <x:row r="62" ht="21" customHeight="1">
      <x:c r="A62" t="n">
        <x:v>2</x:v>
      </x:c>
      <x:c r="B62" t="str">
        <x:v>Vox Brasil</x:v>
      </x:c>
      <x:c r="C62" t="str">
        <x:v>2026-10-05</x:v>
      </x:c>
      <x:c r="D62" t="str">
        <x:v>2026-10-07</x:v>
      </x:c>
      <x:c r="E62"/>
      <x:c r="F62" t="n">
        <x:v>2100</x:v>
      </x:c>
      <x:c r="G62" t="n">
        <x:v>44.2</x:v>
      </x:c>
      <x:c r="H62" t="n">
        <x:v>42.7</x:v>
      </x:c>
      <x:c r="I62" t="str">
        <x:v>BR-09623/2026</x:v>
      </x:c>
      <x:c r="J62" t="str">
        <x:v>totais</x:v>
      </x:c>
      <x:c r="K62" t="n">
        <x:v>3.4</x:v>
      </x:c>
      <x:c r="L62" t="n">
        <x:v>9.7</x:v>
      </x:c>
      <x:c r="M62" t="str">
        <x:v>presencial</x:v>
      </x:c>
      <x:c r="N62" t="str">
        <x:v>https://e26.cog.ia.br/eleicoes/pesquisas?cargo=presidente</x:v>
      </x:c>
      <x:c r="O62"/>
    </x:row>
    <x:row r="63" ht="21" customHeight="1">
      <x:c r="A63" t="n">
        <x:v>2</x:v>
      </x:c>
      <x:c r="B63" t="str">
        <x:v>Ipespe</x:v>
      </x:c>
      <x:c r="C63" t="str">
        <x:v>2026-10-06</x:v>
      </x:c>
      <x:c r="D63" t="str">
        <x:v>2026-10-08</x:v>
      </x:c>
      <x:c r="E63"/>
      <x:c r="F63" t="n">
        <x:v>1500</x:v>
      </x:c>
      <x:c r="G63" t="n">
        <x:v>44</x:v>
      </x:c>
      <x:c r="H63" t="n">
        <x:v>49</x:v>
      </x:c>
      <x:c r="I63" t="str">
        <x:v>BR-00933/2026</x:v>
      </x:c>
      <x:c r="J63" t="str">
        <x:v>totais</x:v>
      </x:c>
      <x:c r="K63" t="n">
        <x:v>5</x:v>
      </x:c>
      <x:c r="L63" t="n">
        <x:v>3</x:v>
      </x:c>
      <x:c r="M63" t="str">
        <x:v>telefone</x:v>
      </x:c>
      <x:c r="N63" t="str">
        <x:v>https://e26.cog.ia.br/eleicoes/pesquisas?cargo=presidente</x:v>
      </x:c>
      <x:c r="O63"/>
    </x:row>
    <x:row r="64" ht="21" customHeight="1">
      <x:c r="A64" t="n">
        <x:v>2</x:v>
      </x:c>
      <x:c r="B64" t="str">
        <x:v>AtlasIntel</x:v>
      </x:c>
      <x:c r="C64" t="str">
        <x:v>2026-10-03</x:v>
      </x:c>
      <x:c r="D64" t="str">
        <x:v>2026-10-08</x:v>
      </x:c>
      <x:c r="E64"/>
      <x:c r="F64" t="n">
        <x:v>5000</x:v>
      </x:c>
      <x:c r="G64" t="n">
        <x:v>45.7</x:v>
      </x:c>
      <x:c r="H64" t="n">
        <x:v>51.1</x:v>
      </x:c>
      <x:c r="I64" t="str">
        <x:v>BR-03663/2026</x:v>
      </x:c>
      <x:c r="J64" t="str">
        <x:v>totais</x:v>
      </x:c>
      <x:c r="K64"/>
      <x:c r="L64"/>
      <x:c r="M64" t="str">
        <x:v>online</x:v>
      </x:c>
      <x:c r="N64" t="str">
        <x:v>https://e26.cog.ia.br/eleicoes/pesquisas?cargo=presidente</x:v>
      </x:c>
      <x:c r="O64" t="str">
        <x:v>Coleta começa ANTES do primeiro turno em 04/10; aplicar penalidade para campo misto.</x:v>
      </x:c>
    </x:row>
    <x:row r="65" ht="21" customHeight="1">
      <x:c r="A65" t="n">
        <x:v>2</x:v>
      </x:c>
      <x:c r="B65" t="str">
        <x:v>DataTrends</x:v>
      </x:c>
      <x:c r="C65" t="str">
        <x:v>2026-10-07</x:v>
      </x:c>
      <x:c r="D65" t="str">
        <x:v>2026-10-09</x:v>
      </x:c>
      <x:c r="E65"/>
      <x:c r="F65" t="n">
        <x:v>2000</x:v>
      </x:c>
      <x:c r="G65" t="n">
        <x:v>46.9</x:v>
      </x:c>
      <x:c r="H65" t="n">
        <x:v>53.1</x:v>
      </x:c>
      <x:c r="I65" t="str">
        <x:v>BR-03576/2026</x:v>
      </x:c>
      <x:c r="J65" t="str">
        <x:v>validos</x:v>
      </x:c>
      <x:c r="K65"/>
      <x:c r="L65"/>
      <x:c r="M65" t="str">
        <x:v>nao_informado</x:v>
      </x:c>
      <x:c r="N65" t="str">
        <x:v>https://e26.cog.ia.br/eleicoes/pesquisas?cargo=presidente</x:v>
      </x:c>
      <x:c r="O65"/>
    </x:row>
    <x:row r="66" ht="21" customHeight="1">
      <x:c r="A66" t="n">
        <x:v>2</x:v>
      </x:c>
      <x:c r="B66" t="str">
        <x:v>Futura</x:v>
      </x:c>
      <x:c r="C66" t="str">
        <x:v>2026-10-07</x:v>
      </x:c>
      <x:c r="D66" t="str">
        <x:v>2026-10-10</x:v>
      </x:c>
      <x:c r="E66"/>
      <x:c r="F66" t="n">
        <x:v>2000</x:v>
      </x:c>
      <x:c r="G66" t="n">
        <x:v>46.6</x:v>
      </x:c>
      <x:c r="H66" t="n">
        <x:v>50</x:v>
      </x:c>
      <x:c r="I66" t="str">
        <x:v>BR-00650/2026</x:v>
      </x:c>
      <x:c r="J66" t="str">
        <x:v>totais</x:v>
      </x:c>
      <x:c r="K66" t="n">
        <x:v>1.7</x:v>
      </x:c>
      <x:c r="L66" t="n">
        <x:v>1.7</x:v>
      </x:c>
      <x:c r="M66" t="str">
        <x:v>telefone</x:v>
      </x:c>
      <x:c r="N66" t="str">
        <x:v>https://e26.cog.ia.br/eleicoes/pesquisas?cargo=presidente</x:v>
      </x:c>
      <x:c r="O66"/>
    </x:row>
    <x:row r="67" ht="21" customHeight="1">
      <x:c r="A67" t="n">
        <x:v>2</x:v>
      </x:c>
      <x:c r="B67" t="str">
        <x:v>Gerp</x:v>
      </x:c>
      <x:c r="C67" t="str">
        <x:v>2026-10-08</x:v>
      </x:c>
      <x:c r="D67" t="str">
        <x:v>2026-10-12</x:v>
      </x:c>
      <x:c r="E67"/>
      <x:c r="F67" t="n">
        <x:v>2400</x:v>
      </x:c>
      <x:c r="G67" t="n">
        <x:v>44</x:v>
      </x:c>
      <x:c r="H67" t="n">
        <x:v>53</x:v>
      </x:c>
      <x:c r="I67" t="str">
        <x:v>BR-07877/2026</x:v>
      </x:c>
      <x:c r="J67" t="str">
        <x:v>totais</x:v>
      </x:c>
      <x:c r="K67" t="n">
        <x:v>1</x:v>
      </x:c>
      <x:c r="L67" t="n">
        <x:v>3</x:v>
      </x:c>
      <x:c r="M67" t="str">
        <x:v>telefone</x:v>
      </x:c>
      <x:c r="N67" t="str">
        <x:v>https://e26.cog.ia.br/eleicoes/pesquisas?cargo=presidente</x:v>
      </x:c>
      <x:c r="O67"/>
    </x:row>
    <x:row r="68" ht="21" customHeight="1">
      <x:c r="A68" t="n">
        <x:v>2</x:v>
      </x:c>
      <x:c r="B68" t="str">
        <x:v>Nexus</x:v>
      </x:c>
      <x:c r="C68" t="str">
        <x:v>2026-10-10</x:v>
      </x:c>
      <x:c r="D68" t="str">
        <x:v>2026-10-12</x:v>
      </x:c>
      <x:c r="E68"/>
      <x:c r="F68" t="n">
        <x:v>2000</x:v>
      </x:c>
      <x:c r="G68" t="n">
        <x:v>45</x:v>
      </x:c>
      <x:c r="H68" t="n">
        <x:v>48</x:v>
      </x:c>
      <x:c r="I68" t="str">
        <x:v>BR-07997/2026</x:v>
      </x:c>
      <x:c r="J68" t="str">
        <x:v>totais</x:v>
      </x:c>
      <x:c r="K68"/>
      <x:c r="L68"/>
      <x:c r="M68" t="str">
        <x:v>telefone</x:v>
      </x:c>
      <x:c r="N68" t="str">
        <x:v>https://e26.cog.ia.br/eleicoes/pesquisas?cargo=presidente</x:v>
      </x:c>
      <x:c r="O68"/>
    </x:row>
    <x:row r="69" ht="21" customHeight="1">
      <x:c r="A69" t="n">
        <x:v>2</x:v>
      </x:c>
      <x:c r="B69" t="str">
        <x:v>PoderData</x:v>
      </x:c>
      <x:c r="C69" t="str">
        <x:v>2026-10-10</x:v>
      </x:c>
      <x:c r="D69" t="str">
        <x:v>2026-10-12</x:v>
      </x:c>
      <x:c r="E69"/>
      <x:c r="F69" t="n">
        <x:v>3000</x:v>
      </x:c>
      <x:c r="G69" t="n">
        <x:v>49</x:v>
      </x:c>
      <x:c r="H69" t="n">
        <x:v>51</x:v>
      </x:c>
      <x:c r="I69" t="str">
        <x:v>BR-01209/2026</x:v>
      </x:c>
      <x:c r="J69" t="str">
        <x:v>validos</x:v>
      </x:c>
      <x:c r="K69"/>
      <x:c r="L69"/>
      <x:c r="M69" t="str">
        <x:v>telefone</x:v>
      </x:c>
      <x:c r="N69" t="str">
        <x:v>https://e26.cog.ia.br/eleicoes/pesquisas?cargo=presidente</x:v>
      </x:c>
      <x:c r="O69"/>
    </x:row>
    <x:row r="70" ht="21" customHeight="1">
      <x:c r="A70" t="n">
        <x:v>2</x:v>
      </x:c>
      <x:c r="B70" t="str">
        <x:v>Quaest</x:v>
      </x:c>
      <x:c r="C70" t="str">
        <x:v>2026-10-10</x:v>
      </x:c>
      <x:c r="D70" t="str">
        <x:v>2026-10-13</x:v>
      </x:c>
      <x:c r="E70"/>
      <x:c r="F70" t="n">
        <x:v>2154</x:v>
      </x:c>
      <x:c r="G70" t="n">
        <x:v>44</x:v>
      </x:c>
      <x:c r="H70" t="n">
        <x:v>46</x:v>
      </x:c>
      <x:c r="I70" t="str">
        <x:v>BR-08729/2026</x:v>
      </x:c>
      <x:c r="J70" t="str">
        <x:v>totais</x:v>
      </x:c>
      <x:c r="K70" t="n">
        <x:v>9</x:v>
      </x:c>
      <x:c r="L70" t="n">
        <x:v>1</x:v>
      </x:c>
      <x:c r="M70" t="str">
        <x:v>presencial</x:v>
      </x:c>
      <x:c r="N70" t="str">
        <x:v>https://e26.cog.ia.br/eleicoes/pesquisas?cargo=presidente</x:v>
      </x:c>
      <x:c r="O70"/>
    </x:row>
    <x:row r="71" ht="21" customHeight="1">
      <x:c r="A71" t="n">
        <x:v>2</x:v>
      </x:c>
      <x:c r="B71" t="str">
        <x:v>Indexa</x:v>
      </x:c>
      <x:c r="C71" t="str">
        <x:v>2026-10-13</x:v>
      </x:c>
      <x:c r="D71" t="str">
        <x:v>2026-10-14</x:v>
      </x:c>
      <x:c r="E71"/>
      <x:c r="F71" t="n">
        <x:v>2000</x:v>
      </x:c>
      <x:c r="G71" t="n">
        <x:v>42</x:v>
      </x:c>
      <x:c r="H71" t="n">
        <x:v>44</x:v>
      </x:c>
      <x:c r="I71" t="str">
        <x:v>BR-04629/2026</x:v>
      </x:c>
      <x:c r="J71" t="str">
        <x:v>totais</x:v>
      </x:c>
      <x:c r="K71" t="n">
        <x:v>12</x:v>
      </x:c>
      <x:c r="L71" t="n">
        <x:v>2</x:v>
      </x:c>
      <x:c r="M71" t="str">
        <x:v>telefone</x:v>
      </x:c>
      <x:c r="N71" t="str">
        <x:v>https://e26.cog.ia.br/eleicoes/pesquisas?cargo=presidente</x:v>
      </x:c>
      <x:c r="O71" t="str">
        <x:v>BN 4%, NS 2%, não votar 8%; base de válidos deve ser F/(F+L), não 100-BN-NS.</x:v>
      </x:c>
    </x:row>
    <x:row r="72" ht="21" customHeight="1">
      <x:c r="A72" t="n">
        <x:v>2</x:v>
      </x:c>
      <x:c r="B72" t="str">
        <x:v>Datafolha</x:v>
      </x:c>
      <x:c r="C72" t="str">
        <x:v>2026-10-13</x:v>
      </x:c>
      <x:c r="D72" t="str">
        <x:v>2026-10-14</x:v>
      </x:c>
      <x:c r="E72"/>
      <x:c r="F72" t="n">
        <x:v>2520</x:v>
      </x:c>
      <x:c r="G72" t="n">
        <x:v>45</x:v>
      </x:c>
      <x:c r="H72" t="n">
        <x:v>47</x:v>
      </x:c>
      <x:c r="I72" t="str">
        <x:v>BR-00466/2026</x:v>
      </x:c>
      <x:c r="J72" t="str">
        <x:v>totais</x:v>
      </x:c>
      <x:c r="K72"/>
      <x:c r="L72"/>
      <x:c r="M72" t="str">
        <x:v>presencial</x:v>
      </x:c>
      <x:c r="N72" t="str">
        <x:v>https://www1.folha.uol.com.br/poder/2026/10/datafolha-flavio-bolsonaro-tem-51-e-lula-49-dos-votos-validos-um-empate-tecnico.shtml</x:v>
      </x:c>
      <x:c r="O72"/>
    </x:row>
    <x:row r="73" ht="21" customHeight="1">
      <x:c r="A73" t="n">
        <x:v>2</x:v>
      </x:c>
      <x:c r="B73" t="str">
        <x:v>Palver</x:v>
      </x:c>
      <x:c r="C73" t="str">
        <x:v>2026-10-10</x:v>
      </x:c>
      <x:c r="D73" t="str">
        <x:v>2026-10-14</x:v>
      </x:c>
      <x:c r="E73"/>
      <x:c r="F73" t="n">
        <x:v>5000</x:v>
      </x:c>
      <x:c r="G73" t="n">
        <x:v>49</x:v>
      </x:c>
      <x:c r="H73" t="n">
        <x:v>50</x:v>
      </x:c>
      <x:c r="I73" t="str">
        <x:v>BR-08028/2026</x:v>
      </x:c>
      <x:c r="J73" t="str">
        <x:v>totais</x:v>
      </x:c>
      <x:c r="K73" t="n">
        <x:v>1</x:v>
      </x:c>
      <x:c r="L73" t="n">
        <x:v>0</x:v>
      </x:c>
      <x:c r="M73" t="str">
        <x:v>online</x:v>
      </x:c>
      <x:c r="N73" t="str">
        <x:v>https://e26.cog.ia.br/eleicoes/pesquisas?cargo=presidente</x:v>
      </x:c>
      <x:c r="O73" t="str">
        <x:v>Cadastro TSE mostra campo até 14/10; fonte de divulgação informa até 13/10; nova calibragem por região x voto do 1º turno.</x:v>
      </x:c>
    </x:row>
    <x:row r="74" ht="21" customHeight="1">
      <x:c r="A74" t="n">
        <x:v>2</x:v>
      </x:c>
      <x:c r="B74" t="str">
        <x:v>PoderData</x:v>
      </x:c>
      <x:c r="C74" t="str">
        <x:v>2026-10-13</x:v>
      </x:c>
      <x:c r="D74" t="str">
        <x:v>2026-10-15</x:v>
      </x:c>
      <x:c r="E74"/>
      <x:c r="F74" t="n">
        <x:v>3000</x:v>
      </x:c>
      <x:c r="G74" t="n">
        <x:v>50</x:v>
      </x:c>
      <x:c r="H74" t="n">
        <x:v>50</x:v>
      </x:c>
      <x:c r="I74" t="str">
        <x:v>BR-04258/2026</x:v>
      </x:c>
      <x:c r="J74" t="str">
        <x:v>validos</x:v>
      </x:c>
      <x:c r="K74"/>
      <x:c r="L74"/>
      <x:c r="M74" t="str">
        <x:v>telefone</x:v>
      </x:c>
      <x:c r="N74" t="str">
        <x:v>https://www.poder360.com.br/poderdata/pesquisa-poderdata-aya-leia-resultados-de-lula-e-flavio-no-2o-turno/</x:v>
      </x:c>
      <x:c r="O74"/>
    </x:row>
    <x:row r="75" ht="21" customHeight="1">
      <x:c r="A75" t="n">
        <x:v>2</x:v>
      </x:c>
      <x:c r="B75" t="str">
        <x:v>MDA</x:v>
      </x:c>
      <x:c r="C75" t="str">
        <x:v>2026-10-13</x:v>
      </x:c>
      <x:c r="D75" t="str">
        <x:v>2026-10-15</x:v>
      </x:c>
      <x:c r="E75"/>
      <x:c r="F75" t="n">
        <x:v>2014</x:v>
      </x:c>
      <x:c r="G75" t="n">
        <x:v>49.5</x:v>
      </x:c>
      <x:c r="H75" t="n">
        <x:v>50.5</x:v>
      </x:c>
      <x:c r="I75" t="str">
        <x:v>BR-00652/2026</x:v>
      </x:c>
      <x:c r="J75" t="str">
        <x:v>validos</x:v>
      </x:c>
      <x:c r="K75"/>
      <x:c r="L75"/>
      <x:c r="M75" t="str">
        <x:v>presencial</x:v>
      </x:c>
      <x:c r="N75" t="str">
        <x:v>https://noticias.uol.com.br/eleicoes/2026/10/16/cntmda-pesquisa-presidencial-2-turno.ghtm</x:v>
      </x:c>
      <x:c r="O7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7" hidden="0" customWidth="1"/>
    <x:col min="18" max="18" width="37" hidden="0" customWidth="1"/>
  </x:cols>
  <x:sheetData>
    <x:row r="1" ht="30" customHeight="1">
      <x:c r="A1" s="4" t="str">
        <x:v>instituto</x:v>
      </x:c>
      <x:c r="B1" s="4" t="str">
        <x:v>inicio_campo</x:v>
      </x:c>
      <x:c r="C1" s="4" t="str">
        <x:v>fim_campo</x:v>
      </x:c>
      <x:c r="D1" s="4" t="str">
        <x:v>registro_tse</x:v>
      </x:c>
      <x:c r="E1" s="4" t="str">
        <x:v>amostra</x:v>
      </x:c>
      <x:c r="F1" s="4" t="str">
        <x:v>base_original</x:v>
      </x:c>
      <x:c r="G1" s="4" t="str">
        <x:v>lula_reportado_pct</x:v>
      </x:c>
      <x:c r="H1" s="4" t="str">
        <x:v>flavio_reportado_pct</x:v>
      </x:c>
      <x:c r="I1" s="4" t="str">
        <x:v>brancos_nulos_pct</x:v>
      </x:c>
      <x:c r="J1" s="4" t="str">
        <x:v>indecisos_pct</x:v>
      </x:c>
      <x:c r="K1" s="4" t="str">
        <x:v>lula_validos</x:v>
      </x:c>
      <x:c r="L1" s="4" t="str">
        <x:v>flavio_validos</x:v>
      </x:c>
      <x:c r="M1" s="4" t="str">
        <x:v>margem_f_menos_l</x:v>
      </x:c>
      <x:c r="N1" s="4" t="str">
        <x:v>erro_retro_urna</x:v>
      </x:c>
      <x:c r="O1" s="4" t="str">
        <x:v>ultima_rodada</x:v>
      </x:c>
      <x:c r="P1" s="4" t="str">
        <x:v>peso_calibracao</x:v>
      </x:c>
      <x:c r="Q1" s="4" t="str">
        <x:v>criterio_validos</x:v>
      </x:c>
      <x:c r="R1" s="4" t="str">
        <x:v>fonte</x:v>
      </x:c>
    </x:row>
    <x:row r="2" ht="21" customHeight="1">
      <x:c r="A2" t="str">
        <x:v>Datafolha</x:v>
      </x:c>
      <x:c r="B2" t="str">
        <x:v>2026-08-18</x:v>
      </x:c>
      <x:c r="C2" t="str">
        <x:v>2026-08-20</x:v>
      </x:c>
      <x:c r="D2" t="str">
        <x:v>BR-04496/2026</x:v>
      </x:c>
      <x:c r="E2" t="n">
        <x:v>2058</x:v>
      </x:c>
      <x:c r="F2" t="str">
        <x:v>totais</x:v>
      </x:c>
      <x:c r="G2" t="n">
        <x:v>39</x:v>
      </x:c>
      <x:c r="H2" t="n">
        <x:v>33</x:v>
      </x:c>
      <x:c r="I2" t="n">
        <x:v>7</x:v>
      </x:c>
      <x:c r="J2" t="n">
        <x:v>4</x:v>
      </x:c>
      <x:c r="K2" t="n">
        <x:v>43.820225</x:v>
      </x:c>
      <x:c r="L2" t="n">
        <x:v>37.078652</x:v>
      </x:c>
      <x:c r="M2" t="n">
        <x:v>-6.741573</x:v>
      </x:c>
      <x:c r="N2" t="n">
        <x:v>8.611573</x:v>
      </x:c>
      <x:c r="O2" t="n">
        <x:v>0</x:v>
      </x:c>
      <x:c r="P2" t="n">
        <x:v>0</x:v>
      </x:c>
      <x:c r="Q2" t="str">
        <x:v>normalizado_de_totais</x:v>
      </x:c>
      <x:c r="R2" t="str">
        <x:v>https://e26.cog.ia.br/eleicoes/pesquisas?cargo=presidente</x:v>
      </x:c>
    </x:row>
    <x:row r="3" ht="21" customHeight="1">
      <x:c r="A3" t="str">
        <x:v>Indexa</x:v>
      </x:c>
      <x:c r="B3" t="str">
        <x:v>2026-08-20</x:v>
      </x:c>
      <x:c r="C3" t="str">
        <x:v>2026-08-23</x:v>
      </x:c>
      <x:c r="D3" t="str">
        <x:v>BR-06366/2026</x:v>
      </x:c>
      <x:c r="E3" t="n">
        <x:v>2000</x:v>
      </x:c>
      <x:c r="F3" t="str">
        <x:v>totais</x:v>
      </x:c>
      <x:c r="G3" t="n">
        <x:v>39</x:v>
      </x:c>
      <x:c r="H3" t="n">
        <x:v>34</x:v>
      </x:c>
      <x:c r="I3" t="n">
        <x:v>6</x:v>
      </x:c>
      <x:c r="J3" t="n">
        <x:v>6</x:v>
      </x:c>
      <x:c r="K3" t="n">
        <x:v>44.318182</x:v>
      </x:c>
      <x:c r="L3" t="n">
        <x:v>38.636364</x:v>
      </x:c>
      <x:c r="M3" t="n">
        <x:v>-5.681818</x:v>
      </x:c>
      <x:c r="N3" t="n">
        <x:v>7.551818</x:v>
      </x:c>
      <x:c r="O3" t="n">
        <x:v>0</x:v>
      </x:c>
      <x:c r="P3" t="n">
        <x:v>0</x:v>
      </x:c>
      <x:c r="Q3" t="str">
        <x:v>normalizado_de_totais</x:v>
      </x:c>
      <x:c r="R3" t="str">
        <x:v>https://e26.cog.ia.br/eleicoes/pesquisas?cargo=presidente</x:v>
      </x:c>
    </x:row>
    <x:row r="4" ht="21" customHeight="1">
      <x:c r="A4" t="str">
        <x:v>PoderData</x:v>
      </x:c>
      <x:c r="B4" t="str">
        <x:v>2026-08-23</x:v>
      </x:c>
      <x:c r="C4" t="str">
        <x:v>2026-08-26</x:v>
      </x:c>
      <x:c r="D4" t="str">
        <x:v>BR-04974/2026</x:v>
      </x:c>
      <x:c r="E4" t="n">
        <x:v>2400</x:v>
      </x:c>
      <x:c r="F4" t="str">
        <x:v>totais</x:v>
      </x:c>
      <x:c r="G4" t="n">
        <x:v>38</x:v>
      </x:c>
      <x:c r="H4" t="n">
        <x:v>35</x:v>
      </x:c>
      <x:c r="I4" t="n">
        <x:v>5</x:v>
      </x:c>
      <x:c r="J4" t="n">
        <x:v>2</x:v>
      </x:c>
      <x:c r="K4" t="n">
        <x:v>40.860215</x:v>
      </x:c>
      <x:c r="L4" t="n">
        <x:v>37.634409</x:v>
      </x:c>
      <x:c r="M4" t="n">
        <x:v>-3.225806</x:v>
      </x:c>
      <x:c r="N4" t="n">
        <x:v>5.095806</x:v>
      </x:c>
      <x:c r="O4" t="n">
        <x:v>0</x:v>
      </x:c>
      <x:c r="P4" t="n">
        <x:v>0</x:v>
      </x:c>
      <x:c r="Q4" t="str">
        <x:v>normalizado_de_totais</x:v>
      </x:c>
      <x:c r="R4" t="str">
        <x:v>https://e26.cog.ia.br/eleicoes/pesquisas?cargo=presidente</x:v>
      </x:c>
    </x:row>
    <x:row r="5" ht="21" customHeight="1">
      <x:c r="A5" t="str">
        <x:v>Vox Brasil</x:v>
      </x:c>
      <x:c r="B5" t="str">
        <x:v>2026-08-25</x:v>
      </x:c>
      <x:c r="C5" t="str">
        <x:v>2026-08-27</x:v>
      </x:c>
      <x:c r="D5" t="str">
        <x:v>BR-05519/2026</x:v>
      </x:c>
      <x:c r="E5" t="n">
        <x:v>2100</x:v>
      </x:c>
      <x:c r="F5" t="str">
        <x:v>totais</x:v>
      </x:c>
      <x:c r="G5" t="n">
        <x:v>37.1</x:v>
      </x:c>
      <x:c r="H5" t="n">
        <x:v>34.8</x:v>
      </x:c>
      <x:c r="I5"/>
      <x:c r="J5"/>
      <x:c r="K5"/>
      <x:c r="L5"/>
      <x:c r="M5"/>
      <x:c r="N5"/>
      <x:c r="O5" t="n">
        <x:v>0</x:v>
      </x:c>
      <x:c r="P5" t="n">
        <x:v>0</x:v>
      </x:c>
      <x:c r="Q5" t="str">
        <x:v>sem_denominador</x:v>
      </x:c>
      <x:c r="R5" t="str">
        <x:v>https://e26.cog.ia.br/eleicoes/pesquisas?cargo=presidente</x:v>
      </x:c>
    </x:row>
    <x:row r="6" ht="21" customHeight="1">
      <x:c r="A6" t="str">
        <x:v>AtlasIntel</x:v>
      </x:c>
      <x:c r="B6" t="str">
        <x:v>2026-08-25</x:v>
      </x:c>
      <x:c r="C6" t="str">
        <x:v>2026-08-30</x:v>
      </x:c>
      <x:c r="D6" t="str">
        <x:v>BR-07972/2026</x:v>
      </x:c>
      <x:c r="E6" t="n">
        <x:v>5000</x:v>
      </x:c>
      <x:c r="F6" t="str">
        <x:v>totais</x:v>
      </x:c>
      <x:c r="G6" t="n">
        <x:v>43.4</x:v>
      </x:c>
      <x:c r="H6" t="n">
        <x:v>33.7</x:v>
      </x:c>
      <x:c r="I6"/>
      <x:c r="J6"/>
      <x:c r="K6"/>
      <x:c r="L6"/>
      <x:c r="M6"/>
      <x:c r="N6"/>
      <x:c r="O6" t="n">
        <x:v>0</x:v>
      </x:c>
      <x:c r="P6" t="n">
        <x:v>0</x:v>
      </x:c>
      <x:c r="Q6" t="str">
        <x:v>sem_denominador</x:v>
      </x:c>
      <x:c r="R6" t="str">
        <x:v>https://e26.cog.ia.br/eleicoes/pesquisas?cargo=presidente</x:v>
      </x:c>
    </x:row>
    <x:row r="7" ht="21" customHeight="1">
      <x:c r="A7" t="str">
        <x:v>Nexus</x:v>
      </x:c>
      <x:c r="B7" t="str">
        <x:v>2026-08-28</x:v>
      </x:c>
      <x:c r="C7" t="str">
        <x:v>2026-08-30</x:v>
      </x:c>
      <x:c r="D7" t="str">
        <x:v>BR-08900/2026</x:v>
      </x:c>
      <x:c r="E7" t="n">
        <x:v>2000</x:v>
      </x:c>
      <x:c r="F7" t="str">
        <x:v>totais</x:v>
      </x:c>
      <x:c r="G7" t="n">
        <x:v>39</x:v>
      </x:c>
      <x:c r="H7" t="n">
        <x:v>33</x:v>
      </x:c>
      <x:c r="I7" t="n">
        <x:v>3</x:v>
      </x:c>
      <x:c r="J7" t="n">
        <x:v>3</x:v>
      </x:c>
      <x:c r="K7" t="n">
        <x:v>41.489362</x:v>
      </x:c>
      <x:c r="L7" t="n">
        <x:v>35.106383</x:v>
      </x:c>
      <x:c r="M7" t="n">
        <x:v>-6.382979</x:v>
      </x:c>
      <x:c r="N7" t="n">
        <x:v>8.252979</x:v>
      </x:c>
      <x:c r="O7" t="n">
        <x:v>0</x:v>
      </x:c>
      <x:c r="P7" t="n">
        <x:v>0</x:v>
      </x:c>
      <x:c r="Q7" t="str">
        <x:v>normalizado_de_totais</x:v>
      </x:c>
      <x:c r="R7" t="str">
        <x:v>https://e26.cog.ia.br/eleicoes/pesquisas?cargo=presidente</x:v>
      </x:c>
    </x:row>
    <x:row r="8" ht="21" customHeight="1">
      <x:c r="A8" t="str">
        <x:v>Real Time Big Data</x:v>
      </x:c>
      <x:c r="B8" t="str">
        <x:v>2026-08-27</x:v>
      </x:c>
      <x:c r="C8" t="str">
        <x:v>2026-08-31</x:v>
      </x:c>
      <x:c r="D8" t="str">
        <x:v>BR-03490/2026</x:v>
      </x:c>
      <x:c r="E8" t="n">
        <x:v>2000</x:v>
      </x:c>
      <x:c r="F8" t="str">
        <x:v>totais</x:v>
      </x:c>
      <x:c r="G8" t="n">
        <x:v>38</x:v>
      </x:c>
      <x:c r="H8" t="n">
        <x:v>30</x:v>
      </x:c>
      <x:c r="I8" t="n">
        <x:v>3</x:v>
      </x:c>
      <x:c r="J8" t="n">
        <x:v>3</x:v>
      </x:c>
      <x:c r="K8" t="n">
        <x:v>40.425532</x:v>
      </x:c>
      <x:c r="L8" t="n">
        <x:v>31.914894</x:v>
      </x:c>
      <x:c r="M8" t="n">
        <x:v>-8.510638</x:v>
      </x:c>
      <x:c r="N8" t="n">
        <x:v>10.380638</x:v>
      </x:c>
      <x:c r="O8" t="n">
        <x:v>0</x:v>
      </x:c>
      <x:c r="P8" t="n">
        <x:v>0</x:v>
      </x:c>
      <x:c r="Q8" t="str">
        <x:v>normalizado_de_totais</x:v>
      </x:c>
      <x:c r="R8" t="str">
        <x:v>https://e26.cog.ia.br/eleicoes/pesquisas?cargo=presidente</x:v>
      </x:c>
    </x:row>
    <x:row r="9" ht="21" customHeight="1">
      <x:c r="A9" t="str">
        <x:v>Futura</x:v>
      </x:c>
      <x:c r="B9" t="str">
        <x:v>2026-08-28</x:v>
      </x:c>
      <x:c r="C9" t="str">
        <x:v>2026-09-01</x:v>
      </x:c>
      <x:c r="D9" t="str">
        <x:v>BR-02793/2026</x:v>
      </x:c>
      <x:c r="E9" t="n">
        <x:v>2000</x:v>
      </x:c>
      <x:c r="F9" t="str">
        <x:v>totais</x:v>
      </x:c>
      <x:c r="G9" t="n">
        <x:v>38.7</x:v>
      </x:c>
      <x:c r="H9" t="n">
        <x:v>33.6</x:v>
      </x:c>
      <x:c r="I9" t="n">
        <x:v>2</x:v>
      </x:c>
      <x:c r="J9" t="n">
        <x:v>4.1</x:v>
      </x:c>
      <x:c r="K9" t="n">
        <x:v>41.214058</x:v>
      </x:c>
      <x:c r="L9" t="n">
        <x:v>35.782748</x:v>
      </x:c>
      <x:c r="M9" t="n">
        <x:v>-5.43131</x:v>
      </x:c>
      <x:c r="N9" t="n">
        <x:v>7.30131</x:v>
      </x:c>
      <x:c r="O9" t="n">
        <x:v>0</x:v>
      </x:c>
      <x:c r="P9" t="n">
        <x:v>0</x:v>
      </x:c>
      <x:c r="Q9" t="str">
        <x:v>normalizado_de_totais</x:v>
      </x:c>
      <x:c r="R9" t="str">
        <x:v>https://e26.cog.ia.br/eleicoes/pesquisas?cargo=presidente</x:v>
      </x:c>
    </x:row>
    <x:row r="10" ht="21" customHeight="1">
      <x:c r="A10" t="str">
        <x:v>Quaest</x:v>
      </x:c>
      <x:c r="B10" t="str">
        <x:v>2026-08-30</x:v>
      </x:c>
      <x:c r="C10" t="str">
        <x:v>2026-09-01</x:v>
      </x:c>
      <x:c r="D10" t="str">
        <x:v>BR-07065/2026</x:v>
      </x:c>
      <x:c r="E10" t="n">
        <x:v>2004</x:v>
      </x:c>
      <x:c r="F10" t="str">
        <x:v>totais</x:v>
      </x:c>
      <x:c r="G10" t="n">
        <x:v>37</x:v>
      </x:c>
      <x:c r="H10" t="n">
        <x:v>29</x:v>
      </x:c>
      <x:c r="I10" t="n">
        <x:v>7</x:v>
      </x:c>
      <x:c r="J10" t="n">
        <x:v>11</x:v>
      </x:c>
      <x:c r="K10" t="n">
        <x:v>45.121951</x:v>
      </x:c>
      <x:c r="L10" t="n">
        <x:v>35.365854</x:v>
      </x:c>
      <x:c r="M10" t="n">
        <x:v>-9.756098</x:v>
      </x:c>
      <x:c r="N10" t="n">
        <x:v>11.626098</x:v>
      </x:c>
      <x:c r="O10" t="n">
        <x:v>0</x:v>
      </x:c>
      <x:c r="P10" t="n">
        <x:v>0</x:v>
      </x:c>
      <x:c r="Q10" t="str">
        <x:v>normalizado_de_totais</x:v>
      </x:c>
      <x:c r="R10" t="str">
        <x:v>https://e26.cog.ia.br/eleicoes/pesquisas?cargo=presidente</x:v>
      </x:c>
    </x:row>
    <x:row r="11" ht="21" customHeight="1">
      <x:c r="A11" t="str">
        <x:v>Datafolha</x:v>
      </x:c>
      <x:c r="B11" t="str">
        <x:v>2026-09-01</x:v>
      </x:c>
      <x:c r="C11" t="str">
        <x:v>2026-09-03</x:v>
      </x:c>
      <x:c r="D11" t="str">
        <x:v>BR-03669/2026</x:v>
      </x:c>
      <x:c r="E11" t="n">
        <x:v>2002</x:v>
      </x:c>
      <x:c r="F11" t="str">
        <x:v>totais</x:v>
      </x:c>
      <x:c r="G11" t="n">
        <x:v>38</x:v>
      </x:c>
      <x:c r="H11" t="n">
        <x:v>33</x:v>
      </x:c>
      <x:c r="I11"/>
      <x:c r="J11"/>
      <x:c r="K11"/>
      <x:c r="L11"/>
      <x:c r="M11"/>
      <x:c r="N11"/>
      <x:c r="O11" t="n">
        <x:v>0</x:v>
      </x:c>
      <x:c r="P11" t="n">
        <x:v>0</x:v>
      </x:c>
      <x:c r="Q11" t="str">
        <x:v>sem_denominador</x:v>
      </x:c>
      <x:c r="R11" t="str">
        <x:v>https://e26.cog.ia.br/eleicoes/pesquisas?cargo=presidente</x:v>
      </x:c>
    </x:row>
    <x:row r="12" ht="21" customHeight="1">
      <x:c r="A12" t="str">
        <x:v>Quaest</x:v>
      </x:c>
      <x:c r="B12" t="str">
        <x:v>2026-09-03</x:v>
      </x:c>
      <x:c r="C12" t="str">
        <x:v>2026-09-06</x:v>
      </x:c>
      <x:c r="D12" t="str">
        <x:v>BR-01720/2026</x:v>
      </x:c>
      <x:c r="E12" t="n">
        <x:v>2004</x:v>
      </x:c>
      <x:c r="F12" t="str">
        <x:v>totais</x:v>
      </x:c>
      <x:c r="G12" t="n">
        <x:v>36</x:v>
      </x:c>
      <x:c r="H12" t="n">
        <x:v>29</x:v>
      </x:c>
      <x:c r="I12"/>
      <x:c r="J12"/>
      <x:c r="K12"/>
      <x:c r="L12"/>
      <x:c r="M12"/>
      <x:c r="N12"/>
      <x:c r="O12" t="n">
        <x:v>0</x:v>
      </x:c>
      <x:c r="P12" t="n">
        <x:v>0</x:v>
      </x:c>
      <x:c r="Q12" t="str">
        <x:v>sem_denominador</x:v>
      </x:c>
      <x:c r="R12" t="str">
        <x:v>https://e26.cog.ia.br/eleicoes/pesquisas?cargo=presidente</x:v>
      </x:c>
    </x:row>
    <x:row r="13" ht="21" customHeight="1">
      <x:c r="A13" t="str">
        <x:v>Ideia</x:v>
      </x:c>
      <x:c r="B13" t="str">
        <x:v>2026-09-04</x:v>
      </x:c>
      <x:c r="C13" t="str">
        <x:v>2026-09-07</x:v>
      </x:c>
      <x:c r="D13" t="str">
        <x:v>BR-07935/2026</x:v>
      </x:c>
      <x:c r="E13" t="n">
        <x:v>1500</x:v>
      </x:c>
      <x:c r="F13" t="str">
        <x:v>totais</x:v>
      </x:c>
      <x:c r="G13" t="n">
        <x:v>38.4</x:v>
      </x:c>
      <x:c r="H13" t="n">
        <x:v>37.3</x:v>
      </x:c>
      <x:c r="I13" t="n">
        <x:v>2.5</x:v>
      </x:c>
      <x:c r="J13" t="n">
        <x:v>2.8</x:v>
      </x:c>
      <x:c r="K13" t="n">
        <x:v>40.549102</x:v>
      </x:c>
      <x:c r="L13" t="n">
        <x:v>39.38754</x:v>
      </x:c>
      <x:c r="M13" t="n">
        <x:v>-1.161563</x:v>
      </x:c>
      <x:c r="N13" t="n">
        <x:v>3.031563</x:v>
      </x:c>
      <x:c r="O13" t="n">
        <x:v>0</x:v>
      </x:c>
      <x:c r="P13" t="n">
        <x:v>0</x:v>
      </x:c>
      <x:c r="Q13" t="str">
        <x:v>normalizado_de_totais</x:v>
      </x:c>
      <x:c r="R13" t="str">
        <x:v>https://e26.cog.ia.br/eleicoes/pesquisas?cargo=presidente</x:v>
      </x:c>
    </x:row>
    <x:row r="14" ht="21" customHeight="1">
      <x:c r="A14" t="str">
        <x:v>Nexus</x:v>
      </x:c>
      <x:c r="B14" t="str">
        <x:v>2026-09-04</x:v>
      </x:c>
      <x:c r="C14" t="str">
        <x:v>2026-09-07</x:v>
      </x:c>
      <x:c r="D14" t="str">
        <x:v>BR-06790/2026</x:v>
      </x:c>
      <x:c r="E14" t="n">
        <x:v>2000</x:v>
      </x:c>
      <x:c r="F14" t="str">
        <x:v>totais</x:v>
      </x:c>
      <x:c r="G14" t="n">
        <x:v>39</x:v>
      </x:c>
      <x:c r="H14" t="n">
        <x:v>35</x:v>
      </x:c>
      <x:c r="I14" t="n">
        <x:v>3</x:v>
      </x:c>
      <x:c r="J14" t="n">
        <x:v>2</x:v>
      </x:c>
      <x:c r="K14" t="n">
        <x:v>41.052632</x:v>
      </x:c>
      <x:c r="L14" t="n">
        <x:v>36.842105</x:v>
      </x:c>
      <x:c r="M14" t="n">
        <x:v>-4.210526</x:v>
      </x:c>
      <x:c r="N14" t="n">
        <x:v>6.080526</x:v>
      </x:c>
      <x:c r="O14" t="n">
        <x:v>0</x:v>
      </x:c>
      <x:c r="P14" t="n">
        <x:v>0</x:v>
      </x:c>
      <x:c r="Q14" t="str">
        <x:v>normalizado_de_totais</x:v>
      </x:c>
      <x:c r="R14" t="str">
        <x:v>https://e26.cog.ia.br/eleicoes/pesquisas?cargo=presidente</x:v>
      </x:c>
    </x:row>
    <x:row r="15" ht="21" customHeight="1">
      <x:c r="A15" t="str">
        <x:v>Gerp</x:v>
      </x:c>
      <x:c r="B15" t="str">
        <x:v>2026-09-03</x:v>
      </x:c>
      <x:c r="C15" t="str">
        <x:v>2026-09-08</x:v>
      </x:c>
      <x:c r="D15" t="str">
        <x:v>BR-00251/2026</x:v>
      </x:c>
      <x:c r="E15" t="n">
        <x:v>2400</x:v>
      </x:c>
      <x:c r="F15" t="str">
        <x:v>totais</x:v>
      </x:c>
      <x:c r="G15" t="n">
        <x:v>34</x:v>
      </x:c>
      <x:c r="H15" t="n">
        <x:v>37</x:v>
      </x:c>
      <x:c r="I15" t="n">
        <x:v>4</x:v>
      </x:c>
      <x:c r="J15" t="n">
        <x:v>8</x:v>
      </x:c>
      <x:c r="K15" t="n">
        <x:v>38.636364</x:v>
      </x:c>
      <x:c r="L15" t="n">
        <x:v>42.045455</x:v>
      </x:c>
      <x:c r="M15" t="n">
        <x:v>3.409091</x:v>
      </x:c>
      <x:c r="N15" t="n">
        <x:v>-1.539091</x:v>
      </x:c>
      <x:c r="O15" t="n">
        <x:v>0</x:v>
      </x:c>
      <x:c r="P15" t="n">
        <x:v>0</x:v>
      </x:c>
      <x:c r="Q15" t="str">
        <x:v>normalizado_de_totais</x:v>
      </x:c>
      <x:c r="R15" t="str">
        <x:v>https://e26.cog.ia.br/eleicoes/pesquisas?cargo=presidente</x:v>
      </x:c>
    </x:row>
    <x:row r="16" ht="21" customHeight="1">
      <x:c r="A16" t="str">
        <x:v>Palver</x:v>
      </x:c>
      <x:c r="B16" t="str">
        <x:v>2026-09-04</x:v>
      </x:c>
      <x:c r="C16" t="str">
        <x:v>2026-09-08</x:v>
      </x:c>
      <x:c r="D16" t="str">
        <x:v>BR-05420/2026</x:v>
      </x:c>
      <x:c r="E16" t="n">
        <x:v>5000</x:v>
      </x:c>
      <x:c r="F16" t="str">
        <x:v>totais</x:v>
      </x:c>
      <x:c r="G16" t="n">
        <x:v>40</x:v>
      </x:c>
      <x:c r="H16" t="n">
        <x:v>40</x:v>
      </x:c>
      <x:c r="I16"/>
      <x:c r="J16"/>
      <x:c r="K16"/>
      <x:c r="L16"/>
      <x:c r="M16"/>
      <x:c r="N16"/>
      <x:c r="O16" t="n">
        <x:v>0</x:v>
      </x:c>
      <x:c r="P16" t="n">
        <x:v>0</x:v>
      </x:c>
      <x:c r="Q16" t="str">
        <x:v>sem_denominador</x:v>
      </x:c>
      <x:c r="R16" t="str">
        <x:v>https://e26.cog.ia.br/eleicoes/pesquisas?cargo=presidente</x:v>
      </x:c>
    </x:row>
    <x:row r="17" ht="21" customHeight="1">
      <x:c r="A17" t="str">
        <x:v>AtlasIntel</x:v>
      </x:c>
      <x:c r="B17" t="str">
        <x:v>2026-09-04</x:v>
      </x:c>
      <x:c r="C17" t="str">
        <x:v>2026-09-09</x:v>
      </x:c>
      <x:c r="D17" t="str">
        <x:v>BR-01452/2026</x:v>
      </x:c>
      <x:c r="E17" t="n">
        <x:v>5000</x:v>
      </x:c>
      <x:c r="F17" t="str">
        <x:v>totais</x:v>
      </x:c>
      <x:c r="G17" t="n">
        <x:v>43</x:v>
      </x:c>
      <x:c r="H17" t="n">
        <x:v>37.4</x:v>
      </x:c>
      <x:c r="I17"/>
      <x:c r="J17"/>
      <x:c r="K17"/>
      <x:c r="L17"/>
      <x:c r="M17"/>
      <x:c r="N17"/>
      <x:c r="O17" t="n">
        <x:v>0</x:v>
      </x:c>
      <x:c r="P17" t="n">
        <x:v>0</x:v>
      </x:c>
      <x:c r="Q17" t="str">
        <x:v>sem_denominador</x:v>
      </x:c>
      <x:c r="R17" t="str">
        <x:v>https://e26.cog.ia.br/eleicoes/pesquisas?cargo=presidente</x:v>
      </x:c>
    </x:row>
    <x:row r="18" ht="21" customHeight="1">
      <x:c r="A18" t="str">
        <x:v>PoderData</x:v>
      </x:c>
      <x:c r="B18" t="str">
        <x:v>2026-09-06</x:v>
      </x:c>
      <x:c r="C18" t="str">
        <x:v>2026-09-09</x:v>
      </x:c>
      <x:c r="D18" t="str">
        <x:v>BR-04914/2026</x:v>
      </x:c>
      <x:c r="E18" t="n">
        <x:v>3000</x:v>
      </x:c>
      <x:c r="F18" t="str">
        <x:v>totais</x:v>
      </x:c>
      <x:c r="G18" t="n">
        <x:v>38</x:v>
      </x:c>
      <x:c r="H18" t="n">
        <x:v>36</x:v>
      </x:c>
      <x:c r="I18"/>
      <x:c r="J18"/>
      <x:c r="K18"/>
      <x:c r="L18"/>
      <x:c r="M18"/>
      <x:c r="N18"/>
      <x:c r="O18" t="n">
        <x:v>0</x:v>
      </x:c>
      <x:c r="P18" t="n">
        <x:v>0</x:v>
      </x:c>
      <x:c r="Q18" t="str">
        <x:v>sem_denominador</x:v>
      </x:c>
      <x:c r="R18" t="str">
        <x:v>https://e26.cog.ia.br/eleicoes/pesquisas?cargo=presidente</x:v>
      </x:c>
    </x:row>
    <x:row r="19" ht="21" customHeight="1">
      <x:c r="A19" t="str">
        <x:v>Datafolha</x:v>
      </x:c>
      <x:c r="B19" t="str">
        <x:v>2026-09-08</x:v>
      </x:c>
      <x:c r="C19" t="str">
        <x:v>2026-09-11</x:v>
      </x:c>
      <x:c r="D19" t="str">
        <x:v>BR-01833/2026</x:v>
      </x:c>
      <x:c r="E19" t="n">
        <x:v>2002</x:v>
      </x:c>
      <x:c r="F19" t="str">
        <x:v>totais</x:v>
      </x:c>
      <x:c r="G19" t="n">
        <x:v>39</x:v>
      </x:c>
      <x:c r="H19" t="n">
        <x:v>35</x:v>
      </x:c>
      <x:c r="I19" t="n">
        <x:v>6</x:v>
      </x:c>
      <x:c r="J19" t="n">
        <x:v>4</x:v>
      </x:c>
      <x:c r="K19" t="n">
        <x:v>43.333333</x:v>
      </x:c>
      <x:c r="L19" t="n">
        <x:v>38.888889</x:v>
      </x:c>
      <x:c r="M19" t="n">
        <x:v>-4.444444</x:v>
      </x:c>
      <x:c r="N19" t="n">
        <x:v>6.314444</x:v>
      </x:c>
      <x:c r="O19" t="n">
        <x:v>0</x:v>
      </x:c>
      <x:c r="P19" t="n">
        <x:v>0</x:v>
      </x:c>
      <x:c r="Q19" t="str">
        <x:v>normalizado_de_totais</x:v>
      </x:c>
      <x:c r="R19" t="str">
        <x:v>https://e26.cog.ia.br/eleicoes/pesquisas?cargo=presidente</x:v>
      </x:c>
    </x:row>
    <x:row r="20" ht="21" customHeight="1">
      <x:c r="A20" t="str">
        <x:v>Indexa</x:v>
      </x:c>
      <x:c r="B20" t="str">
        <x:v>2026-09-10</x:v>
      </x:c>
      <x:c r="C20" t="str">
        <x:v>2026-09-13</x:v>
      </x:c>
      <x:c r="D20" t="str">
        <x:v>BR-03482/2026</x:v>
      </x:c>
      <x:c r="E20" t="n">
        <x:v>2000</x:v>
      </x:c>
      <x:c r="F20" t="str">
        <x:v>totais</x:v>
      </x:c>
      <x:c r="G20" t="n">
        <x:v>38</x:v>
      </x:c>
      <x:c r="H20" t="n">
        <x:v>34</x:v>
      </x:c>
      <x:c r="I20"/>
      <x:c r="J20"/>
      <x:c r="K20"/>
      <x:c r="L20"/>
      <x:c r="M20"/>
      <x:c r="N20"/>
      <x:c r="O20" t="n">
        <x:v>0</x:v>
      </x:c>
      <x:c r="P20" t="n">
        <x:v>0</x:v>
      </x:c>
      <x:c r="Q20" t="str">
        <x:v>sem_denominador</x:v>
      </x:c>
      <x:c r="R20" t="str">
        <x:v>https://e26.cog.ia.br/eleicoes/pesquisas?cargo=presidente</x:v>
      </x:c>
    </x:row>
    <x:row r="21" ht="21" customHeight="1">
      <x:c r="A21" t="str">
        <x:v>MDA</x:v>
      </x:c>
      <x:c r="B21" t="str">
        <x:v>2026-09-09</x:v>
      </x:c>
      <x:c r="C21" t="str">
        <x:v>2026-09-13</x:v>
      </x:c>
      <x:c r="D21" t="str">
        <x:v>BR-06902/2026</x:v>
      </x:c>
      <x:c r="E21" t="n">
        <x:v>2002</x:v>
      </x:c>
      <x:c r="F21" t="str">
        <x:v>totais</x:v>
      </x:c>
      <x:c r="G21" t="n">
        <x:v>40.5</x:v>
      </x:c>
      <x:c r="H21" t="n">
        <x:v>30.4</x:v>
      </x:c>
      <x:c r="I21" t="n">
        <x:v>6</x:v>
      </x:c>
      <x:c r="J21" t="n">
        <x:v>7.5</x:v>
      </x:c>
      <x:c r="K21" t="n">
        <x:v>46.820809</x:v>
      </x:c>
      <x:c r="L21" t="n">
        <x:v>35.144509</x:v>
      </x:c>
      <x:c r="M21" t="n">
        <x:v>-11.676301</x:v>
      </x:c>
      <x:c r="N21" t="n">
        <x:v>13.546301</x:v>
      </x:c>
      <x:c r="O21" t="n">
        <x:v>0</x:v>
      </x:c>
      <x:c r="P21" t="n">
        <x:v>0</x:v>
      </x:c>
      <x:c r="Q21" t="str">
        <x:v>normalizado_de_totais</x:v>
      </x:c>
      <x:c r="R21" t="str">
        <x:v>https://e26.cog.ia.br/eleicoes/pesquisas?cargo=presidente</x:v>
      </x:c>
    </x:row>
    <x:row r="22" ht="21" customHeight="1">
      <x:c r="A22" t="str">
        <x:v>Quaest</x:v>
      </x:c>
      <x:c r="B22" t="str">
        <x:v>2026-09-10</x:v>
      </x:c>
      <x:c r="C22" t="str">
        <x:v>2026-09-13</x:v>
      </x:c>
      <x:c r="D22" t="str">
        <x:v>BR-03607/2026</x:v>
      </x:c>
      <x:c r="E22" t="n">
        <x:v>2004</x:v>
      </x:c>
      <x:c r="F22" t="str">
        <x:v>totais</x:v>
      </x:c>
      <x:c r="G22" t="n">
        <x:v>36</x:v>
      </x:c>
      <x:c r="H22" t="n">
        <x:v>31</x:v>
      </x:c>
      <x:c r="I22" t="n">
        <x:v>7</x:v>
      </x:c>
      <x:c r="J22" t="n">
        <x:v>10</x:v>
      </x:c>
      <x:c r="K22" t="n">
        <x:v>43.373494</x:v>
      </x:c>
      <x:c r="L22" t="n">
        <x:v>37.349398</x:v>
      </x:c>
      <x:c r="M22" t="n">
        <x:v>-6.024096</x:v>
      </x:c>
      <x:c r="N22" t="n">
        <x:v>7.894096</x:v>
      </x:c>
      <x:c r="O22" t="n">
        <x:v>0</x:v>
      </x:c>
      <x:c r="P22" t="n">
        <x:v>0</x:v>
      </x:c>
      <x:c r="Q22" t="str">
        <x:v>normalizado_de_totais</x:v>
      </x:c>
      <x:c r="R22" t="str">
        <x:v>https://e26.cog.ia.br/eleicoes/pesquisas?cargo=presidente</x:v>
      </x:c>
    </x:row>
    <x:row r="23" ht="21" customHeight="1">
      <x:c r="A23" t="str">
        <x:v>AtlasIntel</x:v>
      </x:c>
      <x:c r="B23" t="str">
        <x:v>2026-09-11</x:v>
      </x:c>
      <x:c r="C23" t="str">
        <x:v>2026-09-16</x:v>
      </x:c>
      <x:c r="D23" t="str">
        <x:v>BR-06221/2026</x:v>
      </x:c>
      <x:c r="E23" t="n">
        <x:v>5000</x:v>
      </x:c>
      <x:c r="F23" t="str">
        <x:v>totais</x:v>
      </x:c>
      <x:c r="G23" t="n">
        <x:v>44.1</x:v>
      </x:c>
      <x:c r="H23" t="n">
        <x:v>41.7</x:v>
      </x:c>
      <x:c r="I23"/>
      <x:c r="J23"/>
      <x:c r="K23"/>
      <x:c r="L23"/>
      <x:c r="M23"/>
      <x:c r="N23"/>
      <x:c r="O23" t="n">
        <x:v>0</x:v>
      </x:c>
      <x:c r="P23" t="n">
        <x:v>0</x:v>
      </x:c>
      <x:c r="Q23" t="str">
        <x:v>sem_denominador</x:v>
      </x:c>
      <x:c r="R23" t="str">
        <x:v>https://e26.cog.ia.br/eleicoes/pesquisas?cargo=presidente</x:v>
      </x:c>
    </x:row>
    <x:row r="24" ht="21" customHeight="1">
      <x:c r="A24" t="str">
        <x:v>Gerp</x:v>
      </x:c>
      <x:c r="B24" t="str">
        <x:v>2026-09-14</x:v>
      </x:c>
      <x:c r="C24" t="str">
        <x:v>2026-09-16</x:v>
      </x:c>
      <x:c r="D24" t="str">
        <x:v>BR-00535/2026</x:v>
      </x:c>
      <x:c r="E24" t="n">
        <x:v>2400</x:v>
      </x:c>
      <x:c r="F24" t="str">
        <x:v>totais</x:v>
      </x:c>
      <x:c r="G24" t="n">
        <x:v>37</x:v>
      </x:c>
      <x:c r="H24" t="n">
        <x:v>40</x:v>
      </x:c>
      <x:c r="I24" t="n">
        <x:v>4</x:v>
      </x:c>
      <x:c r="J24" t="n">
        <x:v>4</x:v>
      </x:c>
      <x:c r="K24" t="n">
        <x:v>40.217391</x:v>
      </x:c>
      <x:c r="L24" t="n">
        <x:v>43.478261</x:v>
      </x:c>
      <x:c r="M24" t="n">
        <x:v>3.26087</x:v>
      </x:c>
      <x:c r="N24" t="n">
        <x:v>-1.39087</x:v>
      </x:c>
      <x:c r="O24" t="n">
        <x:v>0</x:v>
      </x:c>
      <x:c r="P24" t="n">
        <x:v>0</x:v>
      </x:c>
      <x:c r="Q24" t="str">
        <x:v>normalizado_de_totais</x:v>
      </x:c>
      <x:c r="R24" t="str">
        <x:v>https://e26.cog.ia.br/eleicoes/pesquisas?cargo=presidente</x:v>
      </x:c>
    </x:row>
    <x:row r="25" ht="21" customHeight="1">
      <x:c r="A25" t="str">
        <x:v>Datafolha</x:v>
      </x:c>
      <x:c r="B25" t="str">
        <x:v>2026-09-15</x:v>
      </x:c>
      <x:c r="C25" t="str">
        <x:v>2026-09-17</x:v>
      </x:c>
      <x:c r="D25" t="str">
        <x:v>BR-04029/2026</x:v>
      </x:c>
      <x:c r="E25" t="n">
        <x:v>2002</x:v>
      </x:c>
      <x:c r="F25" t="str">
        <x:v>totais</x:v>
      </x:c>
      <x:c r="G25" t="n">
        <x:v>39</x:v>
      </x:c>
      <x:c r="H25" t="n">
        <x:v>36</x:v>
      </x:c>
      <x:c r="I25" t="n">
        <x:v>6</x:v>
      </x:c>
      <x:c r="J25" t="n">
        <x:v>3</x:v>
      </x:c>
      <x:c r="K25" t="n">
        <x:v>42.857143</x:v>
      </x:c>
      <x:c r="L25" t="n">
        <x:v>39.56044</x:v>
      </x:c>
      <x:c r="M25" t="n">
        <x:v>-3.296703</x:v>
      </x:c>
      <x:c r="N25" t="n">
        <x:v>5.166703</x:v>
      </x:c>
      <x:c r="O25" t="n">
        <x:v>0</x:v>
      </x:c>
      <x:c r="P25" t="n">
        <x:v>0</x:v>
      </x:c>
      <x:c r="Q25" t="str">
        <x:v>normalizado_de_totais</x:v>
      </x:c>
      <x:c r="R25" t="str">
        <x:v>https://e26.cog.ia.br/eleicoes/pesquisas?cargo=presidente</x:v>
      </x:c>
    </x:row>
    <x:row r="26" ht="21" customHeight="1">
      <x:c r="A26" t="str">
        <x:v>Futura</x:v>
      </x:c>
      <x:c r="B26" t="str">
        <x:v>2026-09-11</x:v>
      </x:c>
      <x:c r="C26" t="str">
        <x:v>2026-09-17</x:v>
      </x:c>
      <x:c r="D26" t="str">
        <x:v>BR-00749/2026</x:v>
      </x:c>
      <x:c r="E26" t="n">
        <x:v>2000</x:v>
      </x:c>
      <x:c r="F26" t="str">
        <x:v>totais</x:v>
      </x:c>
      <x:c r="G26" t="n">
        <x:v>38.3</x:v>
      </x:c>
      <x:c r="H26" t="n">
        <x:v>37.7</x:v>
      </x:c>
      <x:c r="I26"/>
      <x:c r="J26"/>
      <x:c r="K26"/>
      <x:c r="L26"/>
      <x:c r="M26"/>
      <x:c r="N26"/>
      <x:c r="O26" t="n">
        <x:v>0</x:v>
      </x:c>
      <x:c r="P26" t="n">
        <x:v>0</x:v>
      </x:c>
      <x:c r="Q26" t="str">
        <x:v>sem_denominador</x:v>
      </x:c>
      <x:c r="R26" t="str">
        <x:v>https://e26.cog.ia.br/eleicoes/pesquisas?cargo=presidente</x:v>
      </x:c>
    </x:row>
    <x:row r="27" ht="21" customHeight="1">
      <x:c r="A27" t="str">
        <x:v>Nexus</x:v>
      </x:c>
      <x:c r="B27" t="str">
        <x:v>2026-09-18</x:v>
      </x:c>
      <x:c r="C27" t="str">
        <x:v>2026-09-20</x:v>
      </x:c>
      <x:c r="D27" t="str">
        <x:v>BR-00485/2026</x:v>
      </x:c>
      <x:c r="E27" t="n">
        <x:v>2000</x:v>
      </x:c>
      <x:c r="F27" t="str">
        <x:v>totais</x:v>
      </x:c>
      <x:c r="G27" t="n">
        <x:v>40</x:v>
      </x:c>
      <x:c r="H27" t="n">
        <x:v>37</x:v>
      </x:c>
      <x:c r="I27" t="n">
        <x:v>4</x:v>
      </x:c>
      <x:c r="J27" t="n">
        <x:v>2</x:v>
      </x:c>
      <x:c r="K27" t="n">
        <x:v>42.553191</x:v>
      </x:c>
      <x:c r="L27" t="n">
        <x:v>39.361702</x:v>
      </x:c>
      <x:c r="M27" t="n">
        <x:v>-3.191489</x:v>
      </x:c>
      <x:c r="N27" t="n">
        <x:v>5.061489</x:v>
      </x:c>
      <x:c r="O27" t="n">
        <x:v>0</x:v>
      </x:c>
      <x:c r="P27" t="n">
        <x:v>0</x:v>
      </x:c>
      <x:c r="Q27" t="str">
        <x:v>normalizado_de_totais</x:v>
      </x:c>
      <x:c r="R27" t="str">
        <x:v>https://e26.cog.ia.br/eleicoes/pesquisas?cargo=presidente</x:v>
      </x:c>
    </x:row>
    <x:row r="28" ht="21" customHeight="1">
      <x:c r="A28" t="str">
        <x:v>Quaest</x:v>
      </x:c>
      <x:c r="B28" t="str">
        <x:v>2026-09-17</x:v>
      </x:c>
      <x:c r="C28" t="str">
        <x:v>2026-09-20</x:v>
      </x:c>
      <x:c r="D28" t="str">
        <x:v>BR-06004/2026</x:v>
      </x:c>
      <x:c r="E28" t="n">
        <x:v>2004</x:v>
      </x:c>
      <x:c r="F28" t="str">
        <x:v>totais</x:v>
      </x:c>
      <x:c r="G28" t="n">
        <x:v>37</x:v>
      </x:c>
      <x:c r="H28" t="n">
        <x:v>33</x:v>
      </x:c>
      <x:c r="I28" t="n">
        <x:v>7</x:v>
      </x:c>
      <x:c r="J28" t="n">
        <x:v>8</x:v>
      </x:c>
      <x:c r="K28" t="n">
        <x:v>43.529412</x:v>
      </x:c>
      <x:c r="L28" t="n">
        <x:v>38.823529</x:v>
      </x:c>
      <x:c r="M28" t="n">
        <x:v>-4.705882</x:v>
      </x:c>
      <x:c r="N28" t="n">
        <x:v>6.575882</x:v>
      </x:c>
      <x:c r="O28" t="n">
        <x:v>0</x:v>
      </x:c>
      <x:c r="P28" t="n">
        <x:v>0</x:v>
      </x:c>
      <x:c r="Q28" t="str">
        <x:v>normalizado_de_totais</x:v>
      </x:c>
      <x:c r="R28" t="str">
        <x:v>https://e26.cog.ia.br/eleicoes/pesquisas?cargo=presidente</x:v>
      </x:c>
    </x:row>
    <x:row r="29" ht="21" customHeight="1">
      <x:c r="A29" t="str">
        <x:v>AtlasIntel</x:v>
      </x:c>
      <x:c r="B29" t="str">
        <x:v>2026-09-17</x:v>
      </x:c>
      <x:c r="C29" t="str">
        <x:v>2026-09-22</x:v>
      </x:c>
      <x:c r="D29" t="str">
        <x:v>BR-04739/2026</x:v>
      </x:c>
      <x:c r="E29" t="n">
        <x:v>5000</x:v>
      </x:c>
      <x:c r="F29" t="str">
        <x:v>totais</x:v>
      </x:c>
      <x:c r="G29" t="n">
        <x:v>45.8</x:v>
      </x:c>
      <x:c r="H29" t="n">
        <x:v>43.4</x:v>
      </x:c>
      <x:c r="I29" t="n">
        <x:v>0.7</x:v>
      </x:c>
      <x:c r="J29" t="n">
        <x:v>0.5</x:v>
      </x:c>
      <x:c r="K29" t="n">
        <x:v>46.356275</x:v>
      </x:c>
      <x:c r="L29" t="n">
        <x:v>43.927126</x:v>
      </x:c>
      <x:c r="M29" t="n">
        <x:v>-2.42915</x:v>
      </x:c>
      <x:c r="N29" t="n">
        <x:v>4.29915</x:v>
      </x:c>
      <x:c r="O29" t="n">
        <x:v>0</x:v>
      </x:c>
      <x:c r="P29" t="n">
        <x:v>0</x:v>
      </x:c>
      <x:c r="Q29" t="str">
        <x:v>normalizado_de_totais</x:v>
      </x:c>
      <x:c r="R29" t="str">
        <x:v>https://e26.cog.ia.br/eleicoes/pesquisas?cargo=presidente</x:v>
      </x:c>
    </x:row>
    <x:row r="30" ht="21" customHeight="1">
      <x:c r="A30" t="str">
        <x:v>Palver</x:v>
      </x:c>
      <x:c r="B30" t="str">
        <x:v>2026-09-20</x:v>
      </x:c>
      <x:c r="C30" t="str">
        <x:v>2026-09-23</x:v>
      </x:c>
      <x:c r="D30" t="str">
        <x:v>BR-09587/2026</x:v>
      </x:c>
      <x:c r="E30" t="n">
        <x:v>5000</x:v>
      </x:c>
      <x:c r="F30" t="str">
        <x:v>totais</x:v>
      </x:c>
      <x:c r="G30" t="n">
        <x:v>43</x:v>
      </x:c>
      <x:c r="H30" t="n">
        <x:v>43</x:v>
      </x:c>
      <x:c r="I30" t="n">
        <x:v>1</x:v>
      </x:c>
      <x:c r="J30" t="n">
        <x:v>1</x:v>
      </x:c>
      <x:c r="K30" t="n">
        <x:v>43.877551</x:v>
      </x:c>
      <x:c r="L30" t="n">
        <x:v>43.877551</x:v>
      </x:c>
      <x:c r="M30" t="n">
        <x:v>0</x:v>
      </x:c>
      <x:c r="N30" t="n">
        <x:v>1.87</x:v>
      </x:c>
      <x:c r="O30" t="n">
        <x:v>0</x:v>
      </x:c>
      <x:c r="P30" t="n">
        <x:v>0</x:v>
      </x:c>
      <x:c r="Q30" t="str">
        <x:v>normalizado_de_totais</x:v>
      </x:c>
      <x:c r="R30" t="str">
        <x:v>https://e26.cog.ia.br/eleicoes/pesquisas?cargo=presidente</x:v>
      </x:c>
    </x:row>
    <x:row r="31" ht="21" customHeight="1">
      <x:c r="A31" t="str">
        <x:v>PoderData</x:v>
      </x:c>
      <x:c r="B31" t="str">
        <x:v>2026-09-20</x:v>
      </x:c>
      <x:c r="C31" t="str">
        <x:v>2026-09-23</x:v>
      </x:c>
      <x:c r="D31" t="str">
        <x:v>BR-01739/2026</x:v>
      </x:c>
      <x:c r="E31" t="n">
        <x:v>3000</x:v>
      </x:c>
      <x:c r="F31" t="str">
        <x:v>totais</x:v>
      </x:c>
      <x:c r="G31" t="n">
        <x:v>41</x:v>
      </x:c>
      <x:c r="H31" t="n">
        <x:v>39</x:v>
      </x:c>
      <x:c r="I31"/>
      <x:c r="J31"/>
      <x:c r="K31"/>
      <x:c r="L31"/>
      <x:c r="M31"/>
      <x:c r="N31"/>
      <x:c r="O31" t="n">
        <x:v>0</x:v>
      </x:c>
      <x:c r="P31" t="n">
        <x:v>0</x:v>
      </x:c>
      <x:c r="Q31" t="str">
        <x:v>sem_denominador</x:v>
      </x:c>
      <x:c r="R31" t="str">
        <x:v>https://e26.cog.ia.br/eleicoes/pesquisas?cargo=presidente</x:v>
      </x:c>
    </x:row>
    <x:row r="32" ht="21" customHeight="1">
      <x:c r="A32" t="str">
        <x:v>Real Time Big Data</x:v>
      </x:c>
      <x:c r="B32" t="str">
        <x:v>2026-09-19</x:v>
      </x:c>
      <x:c r="C32" t="str">
        <x:v>2026-09-23</x:v>
      </x:c>
      <x:c r="D32" t="str">
        <x:v>BR-04202/2026</x:v>
      </x:c>
      <x:c r="E32" t="n">
        <x:v>2000</x:v>
      </x:c>
      <x:c r="F32" t="str">
        <x:v>totais</x:v>
      </x:c>
      <x:c r="G32" t="n">
        <x:v>41</x:v>
      </x:c>
      <x:c r="H32" t="n">
        <x:v>37</x:v>
      </x:c>
      <x:c r="I32" t="n">
        <x:v>3</x:v>
      </x:c>
      <x:c r="J32" t="n">
        <x:v>3</x:v>
      </x:c>
      <x:c r="K32" t="n">
        <x:v>43.617021</x:v>
      </x:c>
      <x:c r="L32" t="n">
        <x:v>39.361702</x:v>
      </x:c>
      <x:c r="M32" t="n">
        <x:v>-4.255319</x:v>
      </x:c>
      <x:c r="N32" t="n">
        <x:v>6.125319</x:v>
      </x:c>
      <x:c r="O32" t="n">
        <x:v>0</x:v>
      </x:c>
      <x:c r="P32" t="n">
        <x:v>0</x:v>
      </x:c>
      <x:c r="Q32" t="str">
        <x:v>normalizado_de_totais</x:v>
      </x:c>
      <x:c r="R32" t="str">
        <x:v>https://e26.cog.ia.br/eleicoes/pesquisas?cargo=presidente</x:v>
      </x:c>
    </x:row>
    <x:row r="33" ht="21" customHeight="1">
      <x:c r="A33" t="str">
        <x:v>Datafolha</x:v>
      </x:c>
      <x:c r="B33" t="str">
        <x:v>2026-09-22</x:v>
      </x:c>
      <x:c r="C33" t="str">
        <x:v>2026-09-24</x:v>
      </x:c>
      <x:c r="D33" t="str">
        <x:v>BR-00304/2026</x:v>
      </x:c>
      <x:c r="E33" t="n">
        <x:v>2002</x:v>
      </x:c>
      <x:c r="F33" t="str">
        <x:v>totais</x:v>
      </x:c>
      <x:c r="G33" t="n">
        <x:v>40</x:v>
      </x:c>
      <x:c r="H33" t="n">
        <x:v>36</x:v>
      </x:c>
      <x:c r="I33" t="n">
        <x:v>5</x:v>
      </x:c>
      <x:c r="J33" t="n">
        <x:v>2</x:v>
      </x:c>
      <x:c r="K33" t="n">
        <x:v>43.010753</x:v>
      </x:c>
      <x:c r="L33" t="n">
        <x:v>38.709677</x:v>
      </x:c>
      <x:c r="M33" t="n">
        <x:v>-4.301075</x:v>
      </x:c>
      <x:c r="N33" t="n">
        <x:v>6.171075</x:v>
      </x:c>
      <x:c r="O33" t="n">
        <x:v>0</x:v>
      </x:c>
      <x:c r="P33" t="n">
        <x:v>0</x:v>
      </x:c>
      <x:c r="Q33" t="str">
        <x:v>normalizado_de_totais</x:v>
      </x:c>
      <x:c r="R33" t="str">
        <x:v>https://e26.cog.ia.br/eleicoes/pesquisas?cargo=presidente</x:v>
      </x:c>
    </x:row>
    <x:row r="34" ht="21" customHeight="1">
      <x:c r="A34" t="str">
        <x:v>Futura</x:v>
      </x:c>
      <x:c r="B34" t="str">
        <x:v>2026-09-18</x:v>
      </x:c>
      <x:c r="C34" t="str">
        <x:v>2026-09-24</x:v>
      </x:c>
      <x:c r="D34" t="str">
        <x:v>BR-05268/2026</x:v>
      </x:c>
      <x:c r="E34" t="n">
        <x:v>2000</x:v>
      </x:c>
      <x:c r="F34" t="str">
        <x:v>totais</x:v>
      </x:c>
      <x:c r="G34" t="n">
        <x:v>38.4</x:v>
      </x:c>
      <x:c r="H34" t="n">
        <x:v>40.4</x:v>
      </x:c>
      <x:c r="I34" t="n">
        <x:v>2.1</x:v>
      </x:c>
      <x:c r="J34" t="n">
        <x:v>3.2</x:v>
      </x:c>
      <x:c r="K34" t="n">
        <x:v>40.549102</x:v>
      </x:c>
      <x:c r="L34" t="n">
        <x:v>42.661035</x:v>
      </x:c>
      <x:c r="M34" t="n">
        <x:v>2.111932</x:v>
      </x:c>
      <x:c r="N34" t="n">
        <x:v>-0.241932</x:v>
      </x:c>
      <x:c r="O34" t="n">
        <x:v>0</x:v>
      </x:c>
      <x:c r="P34" t="n">
        <x:v>0</x:v>
      </x:c>
      <x:c r="Q34" t="str">
        <x:v>normalizado_de_totais</x:v>
      </x:c>
      <x:c r="R34" t="str">
        <x:v>https://e26.cog.ia.br/eleicoes/pesquisas?cargo=presidente</x:v>
      </x:c>
    </x:row>
    <x:row r="35" ht="21" customHeight="1">
      <x:c r="A35" t="str">
        <x:v>Nexus</x:v>
      </x:c>
      <x:c r="B35" t="str">
        <x:v>2026-09-25</x:v>
      </x:c>
      <x:c r="C35" t="str">
        <x:v>2026-09-27</x:v>
      </x:c>
      <x:c r="D35" t="str">
        <x:v>BR-07557/2026</x:v>
      </x:c>
      <x:c r="E35" t="n">
        <x:v>2000</x:v>
      </x:c>
      <x:c r="F35" t="str">
        <x:v>totais</x:v>
      </x:c>
      <x:c r="G35" t="n">
        <x:v>42</x:v>
      </x:c>
      <x:c r="H35" t="n">
        <x:v>37</x:v>
      </x:c>
      <x:c r="I35" t="n">
        <x:v>3</x:v>
      </x:c>
      <x:c r="J35" t="n">
        <x:v>2</x:v>
      </x:c>
      <x:c r="K35" t="n">
        <x:v>44.210526</x:v>
      </x:c>
      <x:c r="L35" t="n">
        <x:v>38.947368</x:v>
      </x:c>
      <x:c r="M35" t="n">
        <x:v>-5.263158</x:v>
      </x:c>
      <x:c r="N35" t="n">
        <x:v>7.133158</x:v>
      </x:c>
      <x:c r="O35" t="n">
        <x:v>1</x:v>
      </x:c>
      <x:c r="P35" t="n">
        <x:v>0.636396</x:v>
      </x:c>
      <x:c r="Q35" t="str">
        <x:v>normalizado_de_totais</x:v>
      </x:c>
      <x:c r="R35" t="str">
        <x:v>https://e26.cog.ia.br/eleicoes/pesquisas?cargo=presidente</x:v>
      </x:c>
    </x:row>
    <x:row r="36" ht="21" customHeight="1">
      <x:c r="A36" t="str">
        <x:v>Ideia</x:v>
      </x:c>
      <x:c r="B36" t="str">
        <x:v>2026-09-25</x:v>
      </x:c>
      <x:c r="C36" t="str">
        <x:v>2026-09-28</x:v>
      </x:c>
      <x:c r="D36" t="str">
        <x:v>BR-08706/2026</x:v>
      </x:c>
      <x:c r="E36" t="n">
        <x:v>2000</x:v>
      </x:c>
      <x:c r="F36" t="str">
        <x:v>totais</x:v>
      </x:c>
      <x:c r="G36" t="n">
        <x:v>39.4</x:v>
      </x:c>
      <x:c r="H36" t="n">
        <x:v>38.4</x:v>
      </x:c>
      <x:c r="I36" t="n">
        <x:v>0.7</x:v>
      </x:c>
      <x:c r="J36" t="n">
        <x:v>1.5</x:v>
      </x:c>
      <x:c r="K36" t="n">
        <x:v>40.286299</x:v>
      </x:c>
      <x:c r="L36" t="n">
        <x:v>39.263804</x:v>
      </x:c>
      <x:c r="M36" t="n">
        <x:v>-1.022495</x:v>
      </x:c>
      <x:c r="N36" t="n">
        <x:v>2.892495</x:v>
      </x:c>
      <x:c r="O36" t="n">
        <x:v>1</x:v>
      </x:c>
      <x:c r="P36" t="n">
        <x:v>0.668697</x:v>
      </x:c>
      <x:c r="Q36" t="str">
        <x:v>normalizado_de_totais</x:v>
      </x:c>
      <x:c r="R36" t="str">
        <x:v>https://e26.cog.ia.br/eleicoes/pesquisas?cargo=presidente</x:v>
      </x:c>
    </x:row>
    <x:row r="37" ht="21" customHeight="1">
      <x:c r="A37" t="str">
        <x:v>Futura</x:v>
      </x:c>
      <x:c r="B37" t="str">
        <x:v>2026-09-24</x:v>
      </x:c>
      <x:c r="C37" t="str">
        <x:v>2026-09-29</x:v>
      </x:c>
      <x:c r="D37" t="str">
        <x:v>BR-01122/2026</x:v>
      </x:c>
      <x:c r="E37" t="n">
        <x:v>2000</x:v>
      </x:c>
      <x:c r="F37" t="str">
        <x:v>totais</x:v>
      </x:c>
      <x:c r="G37" t="n">
        <x:v>39.4</x:v>
      </x:c>
      <x:c r="H37" t="n">
        <x:v>42.2</x:v>
      </x:c>
      <x:c r="I37" t="n">
        <x:v>2.4</x:v>
      </x:c>
      <x:c r="J37" t="n">
        <x:v>2.6</x:v>
      </x:c>
      <x:c r="K37" t="n">
        <x:v>41.473684</x:v>
      </x:c>
      <x:c r="L37" t="n">
        <x:v>44.421053</x:v>
      </x:c>
      <x:c r="M37" t="n">
        <x:v>2.947368</x:v>
      </x:c>
      <x:c r="N37" t="n">
        <x:v>-1.077368</x:v>
      </x:c>
      <x:c r="O37" t="n">
        <x:v>1</x:v>
      </x:c>
      <x:c r="P37" t="n">
        <x:v>0.702638</x:v>
      </x:c>
      <x:c r="Q37" t="str">
        <x:v>normalizado_de_totais</x:v>
      </x:c>
      <x:c r="R37" t="str">
        <x:v>https://e26.cog.ia.br/eleicoes/pesquisas?cargo=presidente</x:v>
      </x:c>
    </x:row>
    <x:row r="38" ht="21" customHeight="1">
      <x:c r="A38" t="str">
        <x:v>Indexa</x:v>
      </x:c>
      <x:c r="B38" t="str">
        <x:v>2026-09-27</x:v>
      </x:c>
      <x:c r="C38" t="str">
        <x:v>2026-09-29</x:v>
      </x:c>
      <x:c r="D38" t="str">
        <x:v>BR-00698/2026</x:v>
      </x:c>
      <x:c r="E38" t="n">
        <x:v>2000</x:v>
      </x:c>
      <x:c r="F38" t="str">
        <x:v>totais</x:v>
      </x:c>
      <x:c r="G38" t="n">
        <x:v>39</x:v>
      </x:c>
      <x:c r="H38" t="n">
        <x:v>34</x:v>
      </x:c>
      <x:c r="I38" t="n">
        <x:v>8</x:v>
      </x:c>
      <x:c r="J38" t="n">
        <x:v>7</x:v>
      </x:c>
      <x:c r="K38" t="n">
        <x:v>45.882353</x:v>
      </x:c>
      <x:c r="L38" t="n">
        <x:v>40</x:v>
      </x:c>
      <x:c r="M38" t="n">
        <x:v>-5.882353</x:v>
      </x:c>
      <x:c r="N38" t="n">
        <x:v>7.752353</x:v>
      </x:c>
      <x:c r="O38" t="n">
        <x:v>1</x:v>
      </x:c>
      <x:c r="P38" t="n">
        <x:v>0.702638</x:v>
      </x:c>
      <x:c r="Q38" t="str">
        <x:v>normalizado_de_totais</x:v>
      </x:c>
      <x:c r="R38" t="str">
        <x:v>https://e26.cog.ia.br/eleicoes/pesquisas?cargo=presidente</x:v>
      </x:c>
    </x:row>
    <x:row r="39" ht="21" customHeight="1">
      <x:c r="A39" t="str">
        <x:v>Real Time Big Data</x:v>
      </x:c>
      <x:c r="B39" t="str">
        <x:v>2026-09-26</x:v>
      </x:c>
      <x:c r="C39" t="str">
        <x:v>2026-09-30</x:v>
      </x:c>
      <x:c r="D39" t="str">
        <x:v>BR-09503/2026</x:v>
      </x:c>
      <x:c r="E39" t="n">
        <x:v>2000</x:v>
      </x:c>
      <x:c r="F39" t="str">
        <x:v>totais</x:v>
      </x:c>
      <x:c r="G39" t="n">
        <x:v>43</x:v>
      </x:c>
      <x:c r="H39" t="n">
        <x:v>39</x:v>
      </x:c>
      <x:c r="I39" t="n">
        <x:v>3</x:v>
      </x:c>
      <x:c r="J39" t="n">
        <x:v>3</x:v>
      </x:c>
      <x:c r="K39" t="n">
        <x:v>45.744681</x:v>
      </x:c>
      <x:c r="L39" t="n">
        <x:v>41.489362</x:v>
      </x:c>
      <x:c r="M39" t="n">
        <x:v>-4.255319</x:v>
      </x:c>
      <x:c r="N39" t="n">
        <x:v>6.125319</x:v>
      </x:c>
      <x:c r="O39" t="n">
        <x:v>1</x:v>
      </x:c>
      <x:c r="P39" t="n">
        <x:v>0.738302</x:v>
      </x:c>
      <x:c r="Q39" t="str">
        <x:v>normalizado_de_totais</x:v>
      </x:c>
      <x:c r="R39" t="str">
        <x:v>https://e26.cog.ia.br/eleicoes/pesquisas?cargo=presidente</x:v>
      </x:c>
    </x:row>
    <x:row r="40" ht="21" customHeight="1">
      <x:c r="A40" t="str">
        <x:v>Vox Brasil</x:v>
      </x:c>
      <x:c r="B40" t="str">
        <x:v>2026-09-29</x:v>
      </x:c>
      <x:c r="C40" t="str">
        <x:v>2026-10-01</x:v>
      </x:c>
      <x:c r="D40" t="str">
        <x:v>BR-00148/2026</x:v>
      </x:c>
      <x:c r="E40" t="n">
        <x:v>2100</x:v>
      </x:c>
      <x:c r="F40" t="str">
        <x:v>totais</x:v>
      </x:c>
      <x:c r="G40" t="n">
        <x:v>40.4</x:v>
      </x:c>
      <x:c r="H40" t="n">
        <x:v>41.2</x:v>
      </x:c>
      <x:c r="I40" t="n">
        <x:v>3.2</x:v>
      </x:c>
      <x:c r="J40" t="n">
        <x:v>7</x:v>
      </x:c>
      <x:c r="K40" t="n">
        <x:v>44.988864</x:v>
      </x:c>
      <x:c r="L40" t="n">
        <x:v>45.879733</x:v>
      </x:c>
      <x:c r="M40" t="n">
        <x:v>0.890869</x:v>
      </x:c>
      <x:c r="N40" t="n">
        <x:v>0.979131</x:v>
      </x:c>
      <x:c r="O40" t="n">
        <x:v>1</x:v>
      </x:c>
      <x:c r="P40" t="n">
        <x:v>0.883259</x:v>
      </x:c>
      <x:c r="Q40" t="str">
        <x:v>normalizado_de_totais</x:v>
      </x:c>
      <x:c r="R40" t="str">
        <x:v>https://e26.cog.ia.br/eleicoes/pesquisas?cargo=presidente</x:v>
      </x:c>
    </x:row>
    <x:row r="41" ht="21" customHeight="1">
      <x:c r="A41" t="str">
        <x:v>AtlasIntel</x:v>
      </x:c>
      <x:c r="B41" t="str">
        <x:v>2026-09-27</x:v>
      </x:c>
      <x:c r="C41" t="str">
        <x:v>2026-10-02</x:v>
      </x:c>
      <x:c r="D41" t="str">
        <x:v>BR-00999/2026</x:v>
      </x:c>
      <x:c r="E41" t="n">
        <x:v>5000</x:v>
      </x:c>
      <x:c r="F41" t="str">
        <x:v>totais</x:v>
      </x:c>
      <x:c r="G41" t="n">
        <x:v>46.7</x:v>
      </x:c>
      <x:c r="H41" t="n">
        <x:v>43.8</x:v>
      </x:c>
      <x:c r="I41" t="n">
        <x:v>0.3</x:v>
      </x:c>
      <x:c r="J41" t="n">
        <x:v>0.3</x:v>
      </x:c>
      <x:c r="K41" t="n">
        <x:v>46.981891</x:v>
      </x:c>
      <x:c r="L41" t="n">
        <x:v>44.064386</x:v>
      </x:c>
      <x:c r="M41" t="n">
        <x:v>-2.917505</x:v>
      </x:c>
      <x:c r="N41" t="n">
        <x:v>4.787505</x:v>
      </x:c>
      <x:c r="O41" t="n">
        <x:v>1</x:v>
      </x:c>
      <x:c r="P41" t="n">
        <x:v>0.896621</x:v>
      </x:c>
      <x:c r="Q41" t="str">
        <x:v>normalizado_de_totais</x:v>
      </x:c>
      <x:c r="R41" t="str">
        <x:v>https://e26.cog.ia.br/eleicoes/pesquisas?cargo=presidente</x:v>
      </x:c>
    </x:row>
    <x:row r="42" ht="21" customHeight="1">
      <x:c r="A42" t="str">
        <x:v>Gerp</x:v>
      </x:c>
      <x:c r="B42" t="str">
        <x:v>2026-09-30</x:v>
      </x:c>
      <x:c r="C42" t="str">
        <x:v>2026-10-02</x:v>
      </x:c>
      <x:c r="D42" t="str">
        <x:v>BR-00509/2026</x:v>
      </x:c>
      <x:c r="E42" t="n">
        <x:v>2400</x:v>
      </x:c>
      <x:c r="F42" t="str">
        <x:v>validos</x:v>
      </x:c>
      <x:c r="G42" t="n">
        <x:v>44</x:v>
      </x:c>
      <x:c r="H42" t="n">
        <x:v>46</x:v>
      </x:c>
      <x:c r="I42"/>
      <x:c r="J42"/>
      <x:c r="K42" t="n">
        <x:v>44</x:v>
      </x:c>
      <x:c r="L42" t="n">
        <x:v>46</x:v>
      </x:c>
      <x:c r="M42" t="n">
        <x:v>2</x:v>
      </x:c>
      <x:c r="N42" t="n">
        <x:v>-0.13</x:v>
      </x:c>
      <x:c r="O42" t="n">
        <x:v>1</x:v>
      </x:c>
      <x:c r="P42" t="n">
        <x:v>0.892954</x:v>
      </x:c>
      <x:c r="Q42" t="str">
        <x:v>reportado_validos</x:v>
      </x:c>
      <x:c r="R42" t="str">
        <x:v>https://e26.cog.ia.br/eleicoes/pesquisas?cargo=presidente</x:v>
      </x:c>
    </x:row>
    <x:row r="43" ht="21" customHeight="1">
      <x:c r="A43" t="str">
        <x:v>MDA</x:v>
      </x:c>
      <x:c r="B43" t="str">
        <x:v>2026-09-29</x:v>
      </x:c>
      <x:c r="C43" t="str">
        <x:v>2026-10-02</x:v>
      </x:c>
      <x:c r="D43" t="str">
        <x:v>BR-04756/2026</x:v>
      </x:c>
      <x:c r="E43" t="n">
        <x:v>2002</x:v>
      </x:c>
      <x:c r="F43" t="str">
        <x:v>totais</x:v>
      </x:c>
      <x:c r="G43" t="n">
        <x:v>43.1</x:v>
      </x:c>
      <x:c r="H43" t="n">
        <x:v>38</x:v>
      </x:c>
      <x:c r="I43" t="n">
        <x:v>5</x:v>
      </x:c>
      <x:c r="J43" t="n">
        <x:v>4.7</x:v>
      </x:c>
      <x:c r="K43" t="n">
        <x:v>47.72979</x:v>
      </x:c>
      <x:c r="L43" t="n">
        <x:v>42.081949</x:v>
      </x:c>
      <x:c r="M43" t="n">
        <x:v>-5.647841</x:v>
      </x:c>
      <x:c r="N43" t="n">
        <x:v>7.517841</x:v>
      </x:c>
      <x:c r="O43" t="n">
        <x:v>1</x:v>
      </x:c>
      <x:c r="P43" t="n">
        <x:v>0.906176</x:v>
      </x:c>
      <x:c r="Q43" t="str">
        <x:v>normalizado_de_totais</x:v>
      </x:c>
      <x:c r="R43" t="str">
        <x:v>https://e26.cog.ia.br/eleicoes/pesquisas?cargo=presidente</x:v>
      </x:c>
    </x:row>
    <x:row r="44" ht="21" customHeight="1">
      <x:c r="A44" t="str">
        <x:v>PoderData</x:v>
      </x:c>
      <x:c r="B44" t="str">
        <x:v>2026-09-30</x:v>
      </x:c>
      <x:c r="C44" t="str">
        <x:v>2026-10-02</x:v>
      </x:c>
      <x:c r="D44" t="str">
        <x:v>BR-03519/2026</x:v>
      </x:c>
      <x:c r="E44" t="n">
        <x:v>4000</x:v>
      </x:c>
      <x:c r="F44" t="str">
        <x:v>totais</x:v>
      </x:c>
      <x:c r="G44" t="n">
        <x:v>42</x:v>
      </x:c>
      <x:c r="H44" t="n">
        <x:v>41</x:v>
      </x:c>
      <x:c r="I44" t="n">
        <x:v>4</x:v>
      </x:c>
      <x:c r="J44" t="n">
        <x:v>2</x:v>
      </x:c>
      <x:c r="K44" t="n">
        <x:v>44.680851</x:v>
      </x:c>
      <x:c r="L44" t="n">
        <x:v>43.617021</x:v>
      </x:c>
      <x:c r="M44" t="n">
        <x:v>-1.06383</x:v>
      </x:c>
      <x:c r="N44" t="n">
        <x:v>2.93383</x:v>
      </x:c>
      <x:c r="O44" t="n">
        <x:v>1</x:v>
      </x:c>
      <x:c r="P44" t="n">
        <x:v>1.152798</x:v>
      </x:c>
      <x:c r="Q44" t="str">
        <x:v>normalizado_de_totais</x:v>
      </x:c>
      <x:c r="R44" t="str">
        <x:v>https://e26.cog.ia.br/eleicoes/pesquisas?cargo=presidente</x:v>
      </x:c>
    </x:row>
    <x:row r="45" ht="21" customHeight="1">
      <x:c r="A45" t="str">
        <x:v>Datafolha</x:v>
      </x:c>
      <x:c r="B45" t="str">
        <x:v>2026-10-03</x:v>
      </x:c>
      <x:c r="C45" t="str">
        <x:v>2026-10-03</x:v>
      </x:c>
      <x:c r="D45" t="str">
        <x:v>BR-01708/2026</x:v>
      </x:c>
      <x:c r="E45" t="n">
        <x:v>4006</x:v>
      </x:c>
      <x:c r="F45" t="str">
        <x:v>totais</x:v>
      </x:c>
      <x:c r="G45" t="n">
        <x:v>42</x:v>
      </x:c>
      <x:c r="H45" t="n">
        <x:v>40</x:v>
      </x:c>
      <x:c r="I45" t="n">
        <x:v>4</x:v>
      </x:c>
      <x:c r="J45" t="n">
        <x:v>3</x:v>
      </x:c>
      <x:c r="K45" t="n">
        <x:v>45.16129</x:v>
      </x:c>
      <x:c r="L45" t="n">
        <x:v>43.010753</x:v>
      </x:c>
      <x:c r="M45" t="n">
        <x:v>-2.150538</x:v>
      </x:c>
      <x:c r="N45" t="n">
        <x:v>4.020538</x:v>
      </x:c>
      <x:c r="O45" t="n">
        <x:v>1</x:v>
      </x:c>
      <x:c r="P45" t="n">
        <x:v>1.3459</x:v>
      </x:c>
      <x:c r="Q45" t="str">
        <x:v>normalizado_de_totais</x:v>
      </x:c>
      <x:c r="R45" t="str">
        <x:v>https://e26.cog.ia.br/eleicoes/pesquisas?cargo=presidente</x:v>
      </x:c>
    </x:row>
    <x:row r="46" ht="21" customHeight="1">
      <x:c r="A46" t="str">
        <x:v>Palver</x:v>
      </x:c>
      <x:c r="B46" t="str">
        <x:v>2026-09-30</x:v>
      </x:c>
      <x:c r="C46" t="str">
        <x:v>2026-10-03</x:v>
      </x:c>
      <x:c r="D46" t="str">
        <x:v>BR-00198/2026</x:v>
      </x:c>
      <x:c r="E46" t="n">
        <x:v>5000</x:v>
      </x:c>
      <x:c r="F46" t="str">
        <x:v>totais</x:v>
      </x:c>
      <x:c r="G46" t="n">
        <x:v>43</x:v>
      </x:c>
      <x:c r="H46" t="n">
        <x:v>47</x:v>
      </x:c>
      <x:c r="I46"/>
      <x:c r="J46"/>
      <x:c r="K46" t="n">
        <x:v>43.4</x:v>
      </x:c>
      <x:c r="L46" t="n">
        <x:v>47.5</x:v>
      </x:c>
      <x:c r="M46" t="n">
        <x:v>4.1</x:v>
      </x:c>
      <x:c r="N46" t="n">
        <x:v>-2.23</x:v>
      </x:c>
      <x:c r="O46" t="n">
        <x:v>1</x:v>
      </x:c>
      <x:c r="P46" t="n">
        <x:v>0.94213</x:v>
      </x:c>
      <x:c r="Q46" t="str">
        <x:v>validos_publicados_externos</x:v>
      </x:c>
      <x:c r="R46" t="str">
        <x:v>https://e26.cog.ia.br/eleicoes/pesquisas?cargo=presidente</x:v>
      </x:c>
    </x:row>
    <x:row r="47" ht="21" customHeight="1">
      <x:c r="A47" t="str">
        <x:v>Quaest</x:v>
      </x:c>
      <x:c r="B47" t="str">
        <x:v>2026-10-02</x:v>
      </x:c>
      <x:c r="C47" t="str">
        <x:v>2026-10-03</x:v>
      </x:c>
      <x:c r="D47" t="str">
        <x:v>BR-02197/2026</x:v>
      </x:c>
      <x:c r="E47" t="n">
        <x:v>3702</x:v>
      </x:c>
      <x:c r="F47" t="str">
        <x:v>totais</x:v>
      </x:c>
      <x:c r="G47" t="n">
        <x:v>40</x:v>
      </x:c>
      <x:c r="H47" t="n">
        <x:v>38</x:v>
      </x:c>
      <x:c r="I47" t="n">
        <x:v>10</x:v>
      </x:c>
      <x:c r="J47" t="n">
        <x:v>3</x:v>
      </x:c>
      <x:c r="K47" t="n">
        <x:v>45.977011</x:v>
      </x:c>
      <x:c r="L47" t="n">
        <x:v>43.678161</x:v>
      </x:c>
      <x:c r="M47" t="n">
        <x:v>-2.298851</x:v>
      </x:c>
      <x:c r="N47" t="n">
        <x:v>4.168851</x:v>
      </x:c>
      <x:c r="O47" t="n">
        <x:v>1</x:v>
      </x:c>
      <x:c r="P47" t="n">
        <x:v>1.294795</x:v>
      </x:c>
      <x:c r="Q47" t="str">
        <x:v>normalizado_de_totais</x:v>
      </x:c>
      <x:c r="R47" t="str">
        <x:v>https://e26.cog.ia.br/eleicoes/pesquisas?cargo=presidente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7" hidden="0" customWidth="1"/>
    <x:col min="10" max="10" width="16" hidden="0" customWidth="1"/>
    <x:col min="11" max="11" width="16" hidden="0" customWidth="1"/>
    <x:col min="12" max="12" width="16" hidden="0" customWidth="1"/>
    <x:col min="13" max="13" width="37" hidden="0" customWidth="1"/>
  </x:cols>
  <x:sheetData>
    <x:row r="1" ht="30" customHeight="1">
      <x:c r="A1" s="4" t="str">
        <x:v>instituto</x:v>
      </x:c>
      <x:c r="B1" s="4" t="str">
        <x:v>registro_1t</x:v>
      </x:c>
      <x:c r="C1" s="4" t="str">
        <x:v>fim_1t</x:v>
      </x:c>
      <x:c r="D1" s="4" t="str">
        <x:v>n_1t</x:v>
      </x:c>
      <x:c r="E1" s="4" t="str">
        <x:v>lula_validos_1t</x:v>
      </x:c>
      <x:c r="F1" s="4" t="str">
        <x:v>flavio_validos_1t</x:v>
      </x:c>
      <x:c r="G1" s="4" t="str">
        <x:v>margem_1t</x:v>
      </x:c>
      <x:c r="H1" s="4" t="str">
        <x:v>margem_urna</x:v>
      </x:c>
      <x:c r="I1" s="4" t="str">
        <x:v>erro_observado</x:v>
      </x:c>
      <x:c r="J1" s="4" t="str">
        <x:v>peso_1t</x:v>
      </x:c>
      <x:c r="K1" s="4" t="str">
        <x:v>erro_shrunk</x:v>
      </x:c>
      <x:c r="L1" s="4" t="str">
        <x:v>ajuste_2t_por_candidato</x:v>
      </x:c>
      <x:c r="M1" s="4" t="str">
        <x:v>criterio_validos_1t</x:v>
      </x:c>
    </x:row>
    <x:row r="2" ht="21" customHeight="1">
      <x:c r="A2" t="str">
        <x:v>AtlasIntel</x:v>
      </x:c>
      <x:c r="B2" t="str">
        <x:v>BR-00999/2026</x:v>
      </x:c>
      <x:c r="C2" t="str">
        <x:v>2026-10-02</x:v>
      </x:c>
      <x:c r="D2" t="n">
        <x:v>5000</x:v>
      </x:c>
      <x:c r="E2" t="n">
        <x:v>46.981891</x:v>
      </x:c>
      <x:c r="F2" t="n">
        <x:v>44.064386</x:v>
      </x:c>
      <x:c r="G2" t="n">
        <x:v>-2.917505</x:v>
      </x:c>
      <x:c r="H2" t="n">
        <x:v>1.87</x:v>
      </x:c>
      <x:c r="I2" t="n">
        <x:v>4.787505</x:v>
      </x:c>
      <x:c r="J2" t="n">
        <x:v>0.896621</x:v>
      </x:c>
      <x:c r="K2" t="n">
        <x:v>3.723601</x:v>
      </x:c>
      <x:c r="L2" t="n">
        <x:v>0.9309</x:v>
      </x:c>
      <x:c r="M2" t="str">
        <x:v>normalizado_de_totais</x:v>
      </x:c>
    </x:row>
    <x:row r="3" ht="21" customHeight="1">
      <x:c r="A3" t="str">
        <x:v>Datafolha</x:v>
      </x:c>
      <x:c r="B3" t="str">
        <x:v>BR-01708/2026</x:v>
      </x:c>
      <x:c r="C3" t="str">
        <x:v>2026-10-03</x:v>
      </x:c>
      <x:c r="D3" t="n">
        <x:v>4006</x:v>
      </x:c>
      <x:c r="E3" t="n">
        <x:v>45.16129</x:v>
      </x:c>
      <x:c r="F3" t="n">
        <x:v>43.010753</x:v>
      </x:c>
      <x:c r="G3" t="n">
        <x:v>-2.150538</x:v>
      </x:c>
      <x:c r="H3" t="n">
        <x:v>1.87</x:v>
      </x:c>
      <x:c r="I3" t="n">
        <x:v>4.020538</x:v>
      </x:c>
      <x:c r="J3" t="n">
        <x:v>1.3459</x:v>
      </x:c>
      <x:c r="K3" t="n">
        <x:v>3.531859</x:v>
      </x:c>
      <x:c r="L3" t="n">
        <x:v>0.882965</x:v>
      </x:c>
      <x:c r="M3" t="str">
        <x:v>normalizado_de_totais</x:v>
      </x:c>
    </x:row>
    <x:row r="4" ht="21" customHeight="1">
      <x:c r="A4" t="str">
        <x:v>Futura</x:v>
      </x:c>
      <x:c r="B4" t="str">
        <x:v>BR-01122/2026</x:v>
      </x:c>
      <x:c r="C4" t="str">
        <x:v>2026-09-29</x:v>
      </x:c>
      <x:c r="D4" t="n">
        <x:v>2000</x:v>
      </x:c>
      <x:c r="E4" t="n">
        <x:v>41.473684</x:v>
      </x:c>
      <x:c r="F4" t="n">
        <x:v>44.421053</x:v>
      </x:c>
      <x:c r="G4" t="n">
        <x:v>2.947368</x:v>
      </x:c>
      <x:c r="H4" t="n">
        <x:v>1.87</x:v>
      </x:c>
      <x:c r="I4" t="n">
        <x:v>-1.077368</x:v>
      </x:c>
      <x:c r="J4" t="n">
        <x:v>0.702638</x:v>
      </x:c>
      <x:c r="K4" t="n">
        <x:v>2.257382</x:v>
      </x:c>
      <x:c r="L4" t="n">
        <x:v>0.564346</x:v>
      </x:c>
      <x:c r="M4" t="str">
        <x:v>normalizado_de_totais</x:v>
      </x:c>
    </x:row>
    <x:row r="5" ht="21" customHeight="1">
      <x:c r="A5" t="str">
        <x:v>Gerp</x:v>
      </x:c>
      <x:c r="B5" t="str">
        <x:v>BR-00509/2026</x:v>
      </x:c>
      <x:c r="C5" t="str">
        <x:v>2026-10-02</x:v>
      </x:c>
      <x:c r="D5" t="n">
        <x:v>2400</x:v>
      </x:c>
      <x:c r="E5" t="n">
        <x:v>44</x:v>
      </x:c>
      <x:c r="F5" t="n">
        <x:v>46</x:v>
      </x:c>
      <x:c r="G5" t="n">
        <x:v>2</x:v>
      </x:c>
      <x:c r="H5" t="n">
        <x:v>1.87</x:v>
      </x:c>
      <x:c r="I5" t="n">
        <x:v>-0.13</x:v>
      </x:c>
      <x:c r="J5" t="n">
        <x:v>0.892954</x:v>
      </x:c>
      <x:c r="K5" t="n">
        <x:v>2.494224</x:v>
      </x:c>
      <x:c r="L5" t="n">
        <x:v>0.623556</x:v>
      </x:c>
      <x:c r="M5" t="str">
        <x:v>reportado_validos</x:v>
      </x:c>
    </x:row>
    <x:row r="6" ht="21" customHeight="1">
      <x:c r="A6" t="str">
        <x:v>Ideia</x:v>
      </x:c>
      <x:c r="B6" t="str">
        <x:v>BR-08706/2026</x:v>
      </x:c>
      <x:c r="C6" t="str">
        <x:v>2026-09-28</x:v>
      </x:c>
      <x:c r="D6" t="n">
        <x:v>2000</x:v>
      </x:c>
      <x:c r="E6" t="n">
        <x:v>40.286299</x:v>
      </x:c>
      <x:c r="F6" t="n">
        <x:v>39.263804</x:v>
      </x:c>
      <x:c r="G6" t="n">
        <x:v>-1.022495</x:v>
      </x:c>
      <x:c r="H6" t="n">
        <x:v>1.87</x:v>
      </x:c>
      <x:c r="I6" t="n">
        <x:v>2.892495</x:v>
      </x:c>
      <x:c r="J6" t="n">
        <x:v>0.668697</x:v>
      </x:c>
      <x:c r="K6" t="n">
        <x:v>3.249848</x:v>
      </x:c>
      <x:c r="L6" t="n">
        <x:v>0.812462</x:v>
      </x:c>
      <x:c r="M6" t="str">
        <x:v>normalizado_de_totais</x:v>
      </x:c>
    </x:row>
    <x:row r="7" ht="21" customHeight="1">
      <x:c r="A7" t="str">
        <x:v>Indexa</x:v>
      </x:c>
      <x:c r="B7" t="str">
        <x:v>BR-00698/2026</x:v>
      </x:c>
      <x:c r="C7" t="str">
        <x:v>2026-09-29</x:v>
      </x:c>
      <x:c r="D7" t="n">
        <x:v>2000</x:v>
      </x:c>
      <x:c r="E7" t="n">
        <x:v>45.882353</x:v>
      </x:c>
      <x:c r="F7" t="n">
        <x:v>40</x:v>
      </x:c>
      <x:c r="G7" t="n">
        <x:v>-5.882353</x:v>
      </x:c>
      <x:c r="H7" t="n">
        <x:v>1.87</x:v>
      </x:c>
      <x:c r="I7" t="n">
        <x:v>7.752353</x:v>
      </x:c>
      <x:c r="J7" t="n">
        <x:v>0.702638</x:v>
      </x:c>
      <x:c r="K7" t="n">
        <x:v>4.464813</x:v>
      </x:c>
      <x:c r="L7" t="n">
        <x:v>1.116203</x:v>
      </x:c>
      <x:c r="M7" t="str">
        <x:v>normalizado_de_totais</x:v>
      </x:c>
    </x:row>
    <x:row r="8" ht="21" customHeight="1">
      <x:c r="A8" t="str">
        <x:v>MDA</x:v>
      </x:c>
      <x:c r="B8" t="str">
        <x:v>BR-04756/2026</x:v>
      </x:c>
      <x:c r="C8" t="str">
        <x:v>2026-10-02</x:v>
      </x:c>
      <x:c r="D8" t="n">
        <x:v>2002</x:v>
      </x:c>
      <x:c r="E8" t="n">
        <x:v>47.72979</x:v>
      </x:c>
      <x:c r="F8" t="n">
        <x:v>42.081949</x:v>
      </x:c>
      <x:c r="G8" t="n">
        <x:v>-5.647841</x:v>
      </x:c>
      <x:c r="H8" t="n">
        <x:v>1.87</x:v>
      </x:c>
      <x:c r="I8" t="n">
        <x:v>7.517841</x:v>
      </x:c>
      <x:c r="J8" t="n">
        <x:v>0.906176</x:v>
      </x:c>
      <x:c r="K8" t="n">
        <x:v>4.406184</x:v>
      </x:c>
      <x:c r="L8" t="n">
        <x:v>1.101546</x:v>
      </x:c>
      <x:c r="M8" t="str">
        <x:v>normalizado_de_totais</x:v>
      </x:c>
    </x:row>
    <x:row r="9" ht="21" customHeight="1">
      <x:c r="A9" t="str">
        <x:v>Nexus</x:v>
      </x:c>
      <x:c r="B9" t="str">
        <x:v>BR-07557/2026</x:v>
      </x:c>
      <x:c r="C9" t="str">
        <x:v>2026-09-27</x:v>
      </x:c>
      <x:c r="D9" t="n">
        <x:v>2000</x:v>
      </x:c>
      <x:c r="E9" t="n">
        <x:v>44.210526</x:v>
      </x:c>
      <x:c r="F9" t="n">
        <x:v>38.947368</x:v>
      </x:c>
      <x:c r="G9" t="n">
        <x:v>-5.263158</x:v>
      </x:c>
      <x:c r="H9" t="n">
        <x:v>1.87</x:v>
      </x:c>
      <x:c r="I9" t="n">
        <x:v>7.133158</x:v>
      </x:c>
      <x:c r="J9" t="n">
        <x:v>0.636396</x:v>
      </x:c>
      <x:c r="K9" t="n">
        <x:v>4.310014</x:v>
      </x:c>
      <x:c r="L9" t="n">
        <x:v>1.077503</x:v>
      </x:c>
      <x:c r="M9" t="str">
        <x:v>normalizado_de_totais</x:v>
      </x:c>
    </x:row>
    <x:row r="10" ht="21" customHeight="1">
      <x:c r="A10" t="str">
        <x:v>Palver</x:v>
      </x:c>
      <x:c r="B10" t="str">
        <x:v>BR-00198/2026</x:v>
      </x:c>
      <x:c r="C10" t="str">
        <x:v>2026-10-03</x:v>
      </x:c>
      <x:c r="D10" t="n">
        <x:v>5000</x:v>
      </x:c>
      <x:c r="E10" t="n">
        <x:v>43.4</x:v>
      </x:c>
      <x:c r="F10" t="n">
        <x:v>47.5</x:v>
      </x:c>
      <x:c r="G10" t="n">
        <x:v>4.1</x:v>
      </x:c>
      <x:c r="H10" t="n">
        <x:v>1.87</x:v>
      </x:c>
      <x:c r="I10" t="n">
        <x:v>-2.23</x:v>
      </x:c>
      <x:c r="J10" t="n">
        <x:v>0.94213</x:v>
      </x:c>
      <x:c r="K10" t="n">
        <x:v>1.969224</x:v>
      </x:c>
      <x:c r="L10" t="n">
        <x:v>0.492306</x:v>
      </x:c>
      <x:c r="M10" t="str">
        <x:v>validos_publicados_externos</x:v>
      </x:c>
    </x:row>
    <x:row r="11" ht="21" customHeight="1">
      <x:c r="A11" t="str">
        <x:v>PoderData</x:v>
      </x:c>
      <x:c r="B11" t="str">
        <x:v>BR-03519/2026</x:v>
      </x:c>
      <x:c r="C11" t="str">
        <x:v>2026-10-02</x:v>
      </x:c>
      <x:c r="D11" t="n">
        <x:v>4000</x:v>
      </x:c>
      <x:c r="E11" t="n">
        <x:v>44.680851</x:v>
      </x:c>
      <x:c r="F11" t="n">
        <x:v>43.617021</x:v>
      </x:c>
      <x:c r="G11" t="n">
        <x:v>-1.06383</x:v>
      </x:c>
      <x:c r="H11" t="n">
        <x:v>1.87</x:v>
      </x:c>
      <x:c r="I11" t="n">
        <x:v>2.93383</x:v>
      </x:c>
      <x:c r="J11" t="n">
        <x:v>1.152798</x:v>
      </x:c>
      <x:c r="K11" t="n">
        <x:v>3.260182</x:v>
      </x:c>
      <x:c r="L11" t="n">
        <x:v>0.815045</x:v>
      </x:c>
      <x:c r="M11" t="str">
        <x:v>normalizado_de_totais</x:v>
      </x:c>
    </x:row>
    <x:row r="12" ht="21" customHeight="1">
      <x:c r="A12" t="str">
        <x:v>Quaest</x:v>
      </x:c>
      <x:c r="B12" t="str">
        <x:v>BR-02197/2026</x:v>
      </x:c>
      <x:c r="C12" t="str">
        <x:v>2026-10-03</x:v>
      </x:c>
      <x:c r="D12" t="n">
        <x:v>3702</x:v>
      </x:c>
      <x:c r="E12" t="n">
        <x:v>45.977011</x:v>
      </x:c>
      <x:c r="F12" t="n">
        <x:v>43.678161</x:v>
      </x:c>
      <x:c r="G12" t="n">
        <x:v>-2.298851</x:v>
      </x:c>
      <x:c r="H12" t="n">
        <x:v>1.87</x:v>
      </x:c>
      <x:c r="I12" t="n">
        <x:v>4.168851</x:v>
      </x:c>
      <x:c r="J12" t="n">
        <x:v>1.294795</x:v>
      </x:c>
      <x:c r="K12" t="n">
        <x:v>3.568937</x:v>
      </x:c>
      <x:c r="L12" t="n">
        <x:v>0.892234</x:v>
      </x:c>
      <x:c r="M12" t="str">
        <x:v>normalizado_de_totais</x:v>
      </x:c>
    </x:row>
    <x:row r="13" ht="21" customHeight="1">
      <x:c r="A13" t="str">
        <x:v>Real Time Big Data</x:v>
      </x:c>
      <x:c r="B13" t="str">
        <x:v>BR-09503/2026</x:v>
      </x:c>
      <x:c r="C13" t="str">
        <x:v>2026-09-30</x:v>
      </x:c>
      <x:c r="D13" t="n">
        <x:v>2000</x:v>
      </x:c>
      <x:c r="E13" t="n">
        <x:v>45.744681</x:v>
      </x:c>
      <x:c r="F13" t="n">
        <x:v>41.489362</x:v>
      </x:c>
      <x:c r="G13" t="n">
        <x:v>-4.255319</x:v>
      </x:c>
      <x:c r="H13" t="n">
        <x:v>1.87</x:v>
      </x:c>
      <x:c r="I13" t="n">
        <x:v>6.125319</x:v>
      </x:c>
      <x:c r="J13" t="n">
        <x:v>0.738302</x:v>
      </x:c>
      <x:c r="K13" t="n">
        <x:v>4.058054</x:v>
      </x:c>
      <x:c r="L13" t="n">
        <x:v>1.014514</x:v>
      </x:c>
      <x:c r="M13" t="str">
        <x:v>normalizado_de_totais</x:v>
      </x:c>
    </x:row>
    <x:row r="14" ht="21" customHeight="1">
      <x:c r="A14" t="str">
        <x:v>Vox Brasil</x:v>
      </x:c>
      <x:c r="B14" t="str">
        <x:v>BR-00148/2026</x:v>
      </x:c>
      <x:c r="C14" t="str">
        <x:v>2026-10-01</x:v>
      </x:c>
      <x:c r="D14" t="n">
        <x:v>2100</x:v>
      </x:c>
      <x:c r="E14" t="n">
        <x:v>44.988864</x:v>
      </x:c>
      <x:c r="F14" t="n">
        <x:v>45.879733</x:v>
      </x:c>
      <x:c r="G14" t="n">
        <x:v>0.890869</x:v>
      </x:c>
      <x:c r="H14" t="n">
        <x:v>1.87</x:v>
      </x:c>
      <x:c r="I14" t="n">
        <x:v>0.979131</x:v>
      </x:c>
      <x:c r="J14" t="n">
        <x:v>0.883259</x:v>
      </x:c>
      <x:c r="K14" t="n">
        <x:v>2.771507</x:v>
      </x:c>
      <x:c r="L14" t="n">
        <x:v>0.692877</x:v>
      </x:c>
      <x:c r="M14" t="str">
        <x:v>normalizado_de_totais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7" hidden="0" customWidth="1"/>
  </x:cols>
  <x:sheetData>
    <x:row r="1" ht="30" customHeight="1">
      <x:c r="A1" s="4" t="str">
        <x:v>instituto</x:v>
      </x:c>
      <x:c r="B1" s="4" t="str">
        <x:v>inicio_campo</x:v>
      </x:c>
      <x:c r="C1" s="4" t="str">
        <x:v>fim_campo</x:v>
      </x:c>
      <x:c r="D1" s="4" t="str">
        <x:v>registro_tse</x:v>
      </x:c>
      <x:c r="E1" s="4" t="str">
        <x:v>amostra</x:v>
      </x:c>
      <x:c r="F1" s="4" t="str">
        <x:v>metodo</x:v>
      </x:c>
      <x:c r="G1" s="4" t="str">
        <x:v>base_original</x:v>
      </x:c>
      <x:c r="H1" s="4" t="str">
        <x:v>lula_reportado_pct</x:v>
      </x:c>
      <x:c r="I1" s="4" t="str">
        <x:v>flavio_reportado_pct</x:v>
      </x:c>
      <x:c r="J1" s="4" t="str">
        <x:v>lula_validos</x:v>
      </x:c>
      <x:c r="K1" s="4" t="str">
        <x:v>flavio_validos</x:v>
      </x:c>
      <x:c r="L1" s="4" t="str">
        <x:v>margem_f_menos_l</x:v>
      </x:c>
      <x:c r="M1" s="4" t="str">
        <x:v>ultimo_2t</x:v>
      </x:c>
      <x:c r="N1" s="4" t="str">
        <x:v>peso_total</x:v>
      </x:c>
      <x:c r="O1" s="4" t="str">
        <x:v>erro_1t_shrunk</x:v>
      </x:c>
      <x:c r="P1" s="4" t="str">
        <x:v>correcao_em_f</x:v>
      </x:c>
      <x:c r="Q1" s="4" t="str">
        <x:v>flavio_ajustado</x:v>
      </x:c>
      <x:c r="R1" s="4" t="str">
        <x:v>lula_ajustado</x:v>
      </x:c>
      <x:c r="S1" s="4" t="str">
        <x:v>fonte</x:v>
      </x:c>
    </x:row>
    <x:row r="2" ht="21" customHeight="1">
      <x:c r="A2" t="str">
        <x:v>Nexus</x:v>
      </x:c>
      <x:c r="B2" t="str">
        <x:v>2026-09-25</x:v>
      </x:c>
      <x:c r="C2" t="str">
        <x:v>2026-09-27</x:v>
      </x:c>
      <x:c r="D2" t="str">
        <x:v>BR-07557/2026</x:v>
      </x:c>
      <x:c r="E2" t="n">
        <x:v>2000</x:v>
      </x:c>
      <x:c r="F2" t="str">
        <x:v>telefone</x:v>
      </x:c>
      <x:c r="G2" t="str">
        <x:v>totais</x:v>
      </x:c>
      <x:c r="H2" t="n">
        <x:v>46</x:v>
      </x:c>
      <x:c r="I2" t="n">
        <x:v>44</x:v>
      </x:c>
      <x:c r="J2" t="n">
        <x:v>51.111111</x:v>
      </x:c>
      <x:c r="K2" t="n">
        <x:v>48.888889</x:v>
      </x:c>
      <x:c r="L2" t="n">
        <x:v>-2.222222</x:v>
      </x:c>
      <x:c r="M2" t="n">
        <x:v>0</x:v>
      </x:c>
      <x:c r="N2" t="n">
        <x:v>0</x:v>
      </x:c>
      <x:c r="O2" t="n">
        <x:v>4.310014</x:v>
      </x:c>
      <x:c r="P2" t="n">
        <x:v>1.077503</x:v>
      </x:c>
      <x:c r="Q2" t="n">
        <x:v>49.966392</x:v>
      </x:c>
      <x:c r="R2" t="n">
        <x:v>50.033608</x:v>
      </x:c>
      <x:c r="S2" t="str">
        <x:v>https://e26.cog.ia.br/eleicoes/pesquisas?cargo=presidente</x:v>
      </x:c>
    </x:row>
    <x:row r="3" ht="21" customHeight="1">
      <x:c r="A3" t="str">
        <x:v>Ideia</x:v>
      </x:c>
      <x:c r="B3" t="str">
        <x:v>2026-09-25</x:v>
      </x:c>
      <x:c r="C3" t="str">
        <x:v>2026-09-28</x:v>
      </x:c>
      <x:c r="D3" t="str">
        <x:v>BR-08706/2026</x:v>
      </x:c>
      <x:c r="E3" t="n">
        <x:v>2000</x:v>
      </x:c>
      <x:c r="F3" t="str">
        <x:v>telefone</x:v>
      </x:c>
      <x:c r="G3" t="str">
        <x:v>totais</x:v>
      </x:c>
      <x:c r="H3" t="n">
        <x:v>48.5</x:v>
      </x:c>
      <x:c r="I3" t="n">
        <x:v>48</x:v>
      </x:c>
      <x:c r="J3" t="n">
        <x:v>50.259067</x:v>
      </x:c>
      <x:c r="K3" t="n">
        <x:v>49.740933</x:v>
      </x:c>
      <x:c r="L3" t="n">
        <x:v>-0.518135</x:v>
      </x:c>
      <x:c r="M3" t="n">
        <x:v>0</x:v>
      </x:c>
      <x:c r="N3" t="n">
        <x:v>0</x:v>
      </x:c>
      <x:c r="O3" t="n">
        <x:v>3.249848</x:v>
      </x:c>
      <x:c r="P3" t="n">
        <x:v>0.812462</x:v>
      </x:c>
      <x:c r="Q3" t="n">
        <x:v>50.553395</x:v>
      </x:c>
      <x:c r="R3" t="n">
        <x:v>49.446605</x:v>
      </x:c>
      <x:c r="S3" t="str">
        <x:v>https://e26.cog.ia.br/eleicoes/pesquisas?cargo=presidente</x:v>
      </x:c>
    </x:row>
    <x:row r="4" ht="21" customHeight="1">
      <x:c r="A4" t="str">
        <x:v>Futura</x:v>
      </x:c>
      <x:c r="B4" t="str">
        <x:v>2026-09-24</x:v>
      </x:c>
      <x:c r="C4" t="str">
        <x:v>2026-09-29</x:v>
      </x:c>
      <x:c r="D4" t="str">
        <x:v>BR-01122/2026</x:v>
      </x:c>
      <x:c r="E4" t="n">
        <x:v>2000</x:v>
      </x:c>
      <x:c r="F4" t="str">
        <x:v>telefone</x:v>
      </x:c>
      <x:c r="G4" t="str">
        <x:v>totais</x:v>
      </x:c>
      <x:c r="H4" t="n">
        <x:v>43.5</x:v>
      </x:c>
      <x:c r="I4" t="n">
        <x:v>49</x:v>
      </x:c>
      <x:c r="J4" t="n">
        <x:v>47.027027</x:v>
      </x:c>
      <x:c r="K4" t="n">
        <x:v>52.972973</x:v>
      </x:c>
      <x:c r="L4" t="n">
        <x:v>5.945946</x:v>
      </x:c>
      <x:c r="M4" t="n">
        <x:v>0</x:v>
      </x:c>
      <x:c r="N4" t="n">
        <x:v>0</x:v>
      </x:c>
      <x:c r="O4" t="n">
        <x:v>2.257382</x:v>
      </x:c>
      <x:c r="P4" t="n">
        <x:v>0.564346</x:v>
      </x:c>
      <x:c r="Q4" t="n">
        <x:v>53.537319</x:v>
      </x:c>
      <x:c r="R4" t="n">
        <x:v>46.462681</x:v>
      </x:c>
      <x:c r="S4" t="str">
        <x:v>https://e26.cog.ia.br/eleicoes/pesquisas?cargo=presidente</x:v>
      </x:c>
    </x:row>
    <x:row r="5" ht="21" customHeight="1">
      <x:c r="A5" t="str">
        <x:v>Indexa</x:v>
      </x:c>
      <x:c r="B5" t="str">
        <x:v>2026-09-27</x:v>
      </x:c>
      <x:c r="C5" t="str">
        <x:v>2026-09-29</x:v>
      </x:c>
      <x:c r="D5" t="str">
        <x:v>BR-00698/2026</x:v>
      </x:c>
      <x:c r="E5" t="n">
        <x:v>2000</x:v>
      </x:c>
      <x:c r="F5" t="str">
        <x:v>telefone</x:v>
      </x:c>
      <x:c r="G5" t="str">
        <x:v>totais</x:v>
      </x:c>
      <x:c r="H5" t="n">
        <x:v>43</x:v>
      </x:c>
      <x:c r="I5" t="n">
        <x:v>42</x:v>
      </x:c>
      <x:c r="J5" t="n">
        <x:v>50.588235</x:v>
      </x:c>
      <x:c r="K5" t="n">
        <x:v>49.411765</x:v>
      </x:c>
      <x:c r="L5" t="n">
        <x:v>-1.176471</x:v>
      </x:c>
      <x:c r="M5" t="n">
        <x:v>0</x:v>
      </x:c>
      <x:c r="N5" t="n">
        <x:v>0</x:v>
      </x:c>
      <x:c r="O5" t="n">
        <x:v>4.464813</x:v>
      </x:c>
      <x:c r="P5" t="n">
        <x:v>1.116203</x:v>
      </x:c>
      <x:c r="Q5" t="n">
        <x:v>50.527968</x:v>
      </x:c>
      <x:c r="R5" t="n">
        <x:v>49.472032</x:v>
      </x:c>
      <x:c r="S5" t="str">
        <x:v>https://e26.cog.ia.br/eleicoes/pesquisas?cargo=presidente</x:v>
      </x:c>
    </x:row>
    <x:row r="6" ht="21" customHeight="1">
      <x:c r="A6" t="str">
        <x:v>Real Time Big Data</x:v>
      </x:c>
      <x:c r="B6" t="str">
        <x:v>2026-09-26</x:v>
      </x:c>
      <x:c r="C6" t="str">
        <x:v>2026-09-30</x:v>
      </x:c>
      <x:c r="D6" t="str">
        <x:v>BR-09503/2026</x:v>
      </x:c>
      <x:c r="E6" t="n">
        <x:v>2000</x:v>
      </x:c>
      <x:c r="F6" t="str">
        <x:v>telefone</x:v>
      </x:c>
      <x:c r="G6" t="str">
        <x:v>totais</x:v>
      </x:c>
      <x:c r="H6" t="n">
        <x:v>45</x:v>
      </x:c>
      <x:c r="I6" t="n">
        <x:v>46</x:v>
      </x:c>
      <x:c r="J6" t="n">
        <x:v>49.450549</x:v>
      </x:c>
      <x:c r="K6" t="n">
        <x:v>50.549451</x:v>
      </x:c>
      <x:c r="L6" t="n">
        <x:v>1.098901</x:v>
      </x:c>
      <x:c r="M6" t="n">
        <x:v>0</x:v>
      </x:c>
      <x:c r="N6" t="n">
        <x:v>0</x:v>
      </x:c>
      <x:c r="O6" t="n">
        <x:v>4.058054</x:v>
      </x:c>
      <x:c r="P6" t="n">
        <x:v>1.014514</x:v>
      </x:c>
      <x:c r="Q6" t="n">
        <x:v>51.563964</x:v>
      </x:c>
      <x:c r="R6" t="n">
        <x:v>48.436036</x:v>
      </x:c>
      <x:c r="S6" t="str">
        <x:v>https://e26.cog.ia.br/eleicoes/pesquisas?cargo=presidente</x:v>
      </x:c>
    </x:row>
    <x:row r="7" ht="21" customHeight="1">
      <x:c r="A7" t="str">
        <x:v>Vox Brasil</x:v>
      </x:c>
      <x:c r="B7" t="str">
        <x:v>2026-09-29</x:v>
      </x:c>
      <x:c r="C7" t="str">
        <x:v>2026-10-01</x:v>
      </x:c>
      <x:c r="D7" t="str">
        <x:v>BR-00148/2026</x:v>
      </x:c>
      <x:c r="E7" t="n">
        <x:v>2100</x:v>
      </x:c>
      <x:c r="F7" t="str">
        <x:v>presencial</x:v>
      </x:c>
      <x:c r="G7" t="str">
        <x:v>totais</x:v>
      </x:c>
      <x:c r="H7" t="n">
        <x:v>45.2</x:v>
      </x:c>
      <x:c r="I7" t="n">
        <x:v>48.2</x:v>
      </x:c>
      <x:c r="J7" t="n">
        <x:v>48.394004</x:v>
      </x:c>
      <x:c r="K7" t="n">
        <x:v>51.605996</x:v>
      </x:c>
      <x:c r="L7" t="n">
        <x:v>3.211991</x:v>
      </x:c>
      <x:c r="M7" t="n">
        <x:v>0</x:v>
      </x:c>
      <x:c r="N7" t="n">
        <x:v>0</x:v>
      </x:c>
      <x:c r="O7" t="n">
        <x:v>2.771507</x:v>
      </x:c>
      <x:c r="P7" t="n">
        <x:v>0.692877</x:v>
      </x:c>
      <x:c r="Q7" t="n">
        <x:v>52.298873</x:v>
      </x:c>
      <x:c r="R7" t="n">
        <x:v>47.701127</x:v>
      </x:c>
      <x:c r="S7" t="str">
        <x:v>https://e26.cog.ia.br/eleicoes/pesquisas?cargo=presidente</x:v>
      </x:c>
    </x:row>
    <x:row r="8" ht="21" customHeight="1">
      <x:c r="A8" t="str">
        <x:v>AtlasIntel</x:v>
      </x:c>
      <x:c r="B8" t="str">
        <x:v>2026-09-27</x:v>
      </x:c>
      <x:c r="C8" t="str">
        <x:v>2026-10-02</x:v>
      </x:c>
      <x:c r="D8" t="str">
        <x:v>BR-00999/2026</x:v>
      </x:c>
      <x:c r="E8" t="n">
        <x:v>5000</x:v>
      </x:c>
      <x:c r="F8" t="str">
        <x:v>online</x:v>
      </x:c>
      <x:c r="G8" t="str">
        <x:v>totais</x:v>
      </x:c>
      <x:c r="H8" t="n">
        <x:v>47.6</x:v>
      </x:c>
      <x:c r="I8" t="n">
        <x:v>47.4</x:v>
      </x:c>
      <x:c r="J8" t="n">
        <x:v>50.105263</x:v>
      </x:c>
      <x:c r="K8" t="n">
        <x:v>49.894737</x:v>
      </x:c>
      <x:c r="L8" t="n">
        <x:v>-0.210526</x:v>
      </x:c>
      <x:c r="M8" t="n">
        <x:v>0</x:v>
      </x:c>
      <x:c r="N8" t="n">
        <x:v>0</x:v>
      </x:c>
      <x:c r="O8" t="n">
        <x:v>3.723601</x:v>
      </x:c>
      <x:c r="P8" t="n">
        <x:v>0.9309</x:v>
      </x:c>
      <x:c r="Q8" t="n">
        <x:v>50.825637</x:v>
      </x:c>
      <x:c r="R8" t="n">
        <x:v>49.174363</x:v>
      </x:c>
      <x:c r="S8" t="str">
        <x:v>https://e26.cog.ia.br/eleicoes/pesquisas?cargo=presidente</x:v>
      </x:c>
    </x:row>
    <x:row r="9" ht="21" customHeight="1">
      <x:c r="A9" t="str">
        <x:v>MDA</x:v>
      </x:c>
      <x:c r="B9" t="str">
        <x:v>2026-09-29</x:v>
      </x:c>
      <x:c r="C9" t="str">
        <x:v>2026-10-02</x:v>
      </x:c>
      <x:c r="D9" t="str">
        <x:v>BR-04756/2026</x:v>
      </x:c>
      <x:c r="E9" t="n">
        <x:v>2002</x:v>
      </x:c>
      <x:c r="F9" t="str">
        <x:v>presencial</x:v>
      </x:c>
      <x:c r="G9" t="str">
        <x:v>totais</x:v>
      </x:c>
      <x:c r="H9" t="n">
        <x:v>47.3</x:v>
      </x:c>
      <x:c r="I9" t="n">
        <x:v>43.1</x:v>
      </x:c>
      <x:c r="J9" t="n">
        <x:v>52.323009</x:v>
      </x:c>
      <x:c r="K9" t="n">
        <x:v>47.676991</x:v>
      </x:c>
      <x:c r="L9" t="n">
        <x:v>-4.646018</x:v>
      </x:c>
      <x:c r="M9" t="n">
        <x:v>0</x:v>
      </x:c>
      <x:c r="N9" t="n">
        <x:v>0</x:v>
      </x:c>
      <x:c r="O9" t="n">
        <x:v>4.406184</x:v>
      </x:c>
      <x:c r="P9" t="n">
        <x:v>1.101546</x:v>
      </x:c>
      <x:c r="Q9" t="n">
        <x:v>48.778537</x:v>
      </x:c>
      <x:c r="R9" t="n">
        <x:v>51.221463</x:v>
      </x:c>
      <x:c r="S9" t="str">
        <x:v>https://e26.cog.ia.br/eleicoes/pesquisas?cargo=presidente</x:v>
      </x:c>
    </x:row>
    <x:row r="10" ht="21" customHeight="1">
      <x:c r="A10" t="str">
        <x:v>PoderData</x:v>
      </x:c>
      <x:c r="B10" t="str">
        <x:v>2026-09-30</x:v>
      </x:c>
      <x:c r="C10" t="str">
        <x:v>2026-10-02</x:v>
      </x:c>
      <x:c r="D10" t="str">
        <x:v>BR-03519/2026</x:v>
      </x:c>
      <x:c r="E10" t="n">
        <x:v>4000</x:v>
      </x:c>
      <x:c r="F10" t="str">
        <x:v>telefone</x:v>
      </x:c>
      <x:c r="G10" t="str">
        <x:v>totais</x:v>
      </x:c>
      <x:c r="H10" t="n">
        <x:v>46</x:v>
      </x:c>
      <x:c r="I10" t="n">
        <x:v>46</x:v>
      </x:c>
      <x:c r="J10" t="n">
        <x:v>50</x:v>
      </x:c>
      <x:c r="K10" t="n">
        <x:v>50</x:v>
      </x:c>
      <x:c r="L10" t="n">
        <x:v>0</x:v>
      </x:c>
      <x:c r="M10" t="n">
        <x:v>0</x:v>
      </x:c>
      <x:c r="N10" t="n">
        <x:v>0</x:v>
      </x:c>
      <x:c r="O10" t="n">
        <x:v>3.260182</x:v>
      </x:c>
      <x:c r="P10" t="n">
        <x:v>0.815045</x:v>
      </x:c>
      <x:c r="Q10" t="n">
        <x:v>50.815045</x:v>
      </x:c>
      <x:c r="R10" t="n">
        <x:v>49.184955</x:v>
      </x:c>
      <x:c r="S10" t="str">
        <x:v>https://e26.cog.ia.br/eleicoes/pesquisas?cargo=presidente</x:v>
      </x:c>
    </x:row>
    <x:row r="11" ht="21" customHeight="1">
      <x:c r="A11" t="str">
        <x:v>Datafolha</x:v>
      </x:c>
      <x:c r="B11" t="str">
        <x:v>2026-10-03</x:v>
      </x:c>
      <x:c r="C11" t="str">
        <x:v>2026-10-03</x:v>
      </x:c>
      <x:c r="D11" t="str">
        <x:v>BR-01708/2026</x:v>
      </x:c>
      <x:c r="E11" t="n">
        <x:v>4006</x:v>
      </x:c>
      <x:c r="F11" t="str">
        <x:v>presencial</x:v>
      </x:c>
      <x:c r="G11" t="str">
        <x:v>totais</x:v>
      </x:c>
      <x:c r="H11" t="n">
        <x:v>47</x:v>
      </x:c>
      <x:c r="I11" t="n">
        <x:v>46</x:v>
      </x:c>
      <x:c r="J11" t="n">
        <x:v>50.537634</x:v>
      </x:c>
      <x:c r="K11" t="n">
        <x:v>49.462366</x:v>
      </x:c>
      <x:c r="L11" t="n">
        <x:v>-1.075269</x:v>
      </x:c>
      <x:c r="M11" t="n">
        <x:v>0</x:v>
      </x:c>
      <x:c r="N11" t="n">
        <x:v>0</x:v>
      </x:c>
      <x:c r="O11" t="n">
        <x:v>3.531859</x:v>
      </x:c>
      <x:c r="P11" t="n">
        <x:v>0.882965</x:v>
      </x:c>
      <x:c r="Q11" t="n">
        <x:v>50.34533</x:v>
      </x:c>
      <x:c r="R11" t="n">
        <x:v>49.65467</x:v>
      </x:c>
      <x:c r="S11" t="str">
        <x:v>https://e26.cog.ia.br/eleicoes/pesquisas?cargo=presidente</x:v>
      </x:c>
    </x:row>
    <x:row r="12" ht="21" customHeight="1">
      <x:c r="A12" t="str">
        <x:v>Palver</x:v>
      </x:c>
      <x:c r="B12" t="str">
        <x:v>2026-09-30</x:v>
      </x:c>
      <x:c r="C12" t="str">
        <x:v>2026-10-03</x:v>
      </x:c>
      <x:c r="D12" t="str">
        <x:v>BR-00198/2026</x:v>
      </x:c>
      <x:c r="E12" t="n">
        <x:v>5000</x:v>
      </x:c>
      <x:c r="F12" t="str">
        <x:v>online</x:v>
      </x:c>
      <x:c r="G12" t="str">
        <x:v>totais</x:v>
      </x:c>
      <x:c r="H12" t="n">
        <x:v>44</x:v>
      </x:c>
      <x:c r="I12" t="n">
        <x:v>49</x:v>
      </x:c>
      <x:c r="J12" t="n">
        <x:v>47.311828</x:v>
      </x:c>
      <x:c r="K12" t="n">
        <x:v>52.688172</x:v>
      </x:c>
      <x:c r="L12" t="n">
        <x:v>5.376344</x:v>
      </x:c>
      <x:c r="M12" t="n">
        <x:v>0</x:v>
      </x:c>
      <x:c r="N12" t="n">
        <x:v>0</x:v>
      </x:c>
      <x:c r="O12" t="n">
        <x:v>1.969224</x:v>
      </x:c>
      <x:c r="P12" t="n">
        <x:v>0.492306</x:v>
      </x:c>
      <x:c r="Q12" t="n">
        <x:v>53.180478</x:v>
      </x:c>
      <x:c r="R12" t="n">
        <x:v>46.819522</x:v>
      </x:c>
      <x:c r="S12" t="str">
        <x:v>https://e26.cog.ia.br/eleicoes/pesquisas?cargo=presidente</x:v>
      </x:c>
    </x:row>
    <x:row r="13" ht="21" customHeight="1">
      <x:c r="A13" t="str">
        <x:v>Quaest</x:v>
      </x:c>
      <x:c r="B13" t="str">
        <x:v>2026-10-02</x:v>
      </x:c>
      <x:c r="C13" t="str">
        <x:v>2026-10-03</x:v>
      </x:c>
      <x:c r="D13" t="str">
        <x:v>BR-02197/2026</x:v>
      </x:c>
      <x:c r="E13" t="n">
        <x:v>3702</x:v>
      </x:c>
      <x:c r="F13" t="str">
        <x:v>presencial</x:v>
      </x:c>
      <x:c r="G13" t="str">
        <x:v>totais</x:v>
      </x:c>
      <x:c r="H13" t="n">
        <x:v>42</x:v>
      </x:c>
      <x:c r="I13" t="n">
        <x:v>44</x:v>
      </x:c>
      <x:c r="J13" t="n">
        <x:v>48.837209</x:v>
      </x:c>
      <x:c r="K13" t="n">
        <x:v>51.162791</x:v>
      </x:c>
      <x:c r="L13" t="n">
        <x:v>2.325581</x:v>
      </x:c>
      <x:c r="M13" t="n">
        <x:v>0</x:v>
      </x:c>
      <x:c r="N13" t="n">
        <x:v>0</x:v>
      </x:c>
      <x:c r="O13" t="n">
        <x:v>3.568937</x:v>
      </x:c>
      <x:c r="P13" t="n">
        <x:v>0.892234</x:v>
      </x:c>
      <x:c r="Q13" t="n">
        <x:v>52.055025</x:v>
      </x:c>
      <x:c r="R13" t="n">
        <x:v>47.944975</x:v>
      </x:c>
      <x:c r="S13" t="str">
        <x:v>https://e26.cog.ia.br/eleicoes/pesquisas?cargo=presidente</x:v>
      </x:c>
    </x:row>
    <x:row r="14" ht="21" customHeight="1">
      <x:c r="A14" t="str">
        <x:v>Datafolha</x:v>
      </x:c>
      <x:c r="B14" t="str">
        <x:v>2026-10-06</x:v>
      </x:c>
      <x:c r="C14" t="str">
        <x:v>2026-10-07</x:v>
      </x:c>
      <x:c r="D14" t="str">
        <x:v>BR-02949/2026</x:v>
      </x:c>
      <x:c r="E14" t="n">
        <x:v>2520</x:v>
      </x:c>
      <x:c r="F14" t="str">
        <x:v>presencial</x:v>
      </x:c>
      <x:c r="G14" t="str">
        <x:v>totais</x:v>
      </x:c>
      <x:c r="H14" t="n">
        <x:v>45</x:v>
      </x:c>
      <x:c r="I14" t="n">
        <x:v>49</x:v>
      </x:c>
      <x:c r="J14" t="n">
        <x:v>47.87234</x:v>
      </x:c>
      <x:c r="K14" t="n">
        <x:v>52.12766</x:v>
      </x:c>
      <x:c r="L14" t="n">
        <x:v>4.255319</x:v>
      </x:c>
      <x:c r="M14" t="n">
        <x:v>0</x:v>
      </x:c>
      <x:c r="N14" t="n">
        <x:v>0</x:v>
      </x:c>
      <x:c r="O14" t="n">
        <x:v>3.531859</x:v>
      </x:c>
      <x:c r="P14" t="n">
        <x:v>0.882965</x:v>
      </x:c>
      <x:c r="Q14" t="n">
        <x:v>53.010624</x:v>
      </x:c>
      <x:c r="R14" t="n">
        <x:v>46.989376</x:v>
      </x:c>
      <x:c r="S14" t="str">
        <x:v>https://e26.cog.ia.br/eleicoes/pesquisas?cargo=presidente</x:v>
      </x:c>
    </x:row>
    <x:row r="15" ht="21" customHeight="1">
      <x:c r="A15" t="str">
        <x:v>PoderData</x:v>
      </x:c>
      <x:c r="B15" t="str">
        <x:v>2026-10-05</x:v>
      </x:c>
      <x:c r="C15" t="str">
        <x:v>2026-10-07</x:v>
      </x:c>
      <x:c r="D15" t="str">
        <x:v>BR-08134/2026</x:v>
      </x:c>
      <x:c r="E15" t="n">
        <x:v>3000</x:v>
      </x:c>
      <x:c r="F15" t="str">
        <x:v>telefone</x:v>
      </x:c>
      <x:c r="G15" t="str">
        <x:v>validos</x:v>
      </x:c>
      <x:c r="H15" t="n">
        <x:v>47</x:v>
      </x:c>
      <x:c r="I15" t="n">
        <x:v>53</x:v>
      </x:c>
      <x:c r="J15" t="n">
        <x:v>47</x:v>
      </x:c>
      <x:c r="K15" t="n">
        <x:v>53</x:v>
      </x:c>
      <x:c r="L15" t="n">
        <x:v>6</x:v>
      </x:c>
      <x:c r="M15" t="n">
        <x:v>0</x:v>
      </x:c>
      <x:c r="N15" t="n">
        <x:v>0</x:v>
      </x:c>
      <x:c r="O15" t="n">
        <x:v>3.260182</x:v>
      </x:c>
      <x:c r="P15" t="n">
        <x:v>0.815045</x:v>
      </x:c>
      <x:c r="Q15" t="n">
        <x:v>53.815045</x:v>
      </x:c>
      <x:c r="R15" t="n">
        <x:v>46.184955</x:v>
      </x:c>
      <x:c r="S15" t="str">
        <x:v>https://e26.cog.ia.br/eleicoes/pesquisas?cargo=presidente</x:v>
      </x:c>
    </x:row>
    <x:row r="16" ht="21" customHeight="1">
      <x:c r="A16" t="str">
        <x:v>Vox Brasil</x:v>
      </x:c>
      <x:c r="B16" t="str">
        <x:v>2026-10-05</x:v>
      </x:c>
      <x:c r="C16" t="str">
        <x:v>2026-10-07</x:v>
      </x:c>
      <x:c r="D16" t="str">
        <x:v>BR-09623/2026</x:v>
      </x:c>
      <x:c r="E16" t="n">
        <x:v>2100</x:v>
      </x:c>
      <x:c r="F16" t="str">
        <x:v>presencial</x:v>
      </x:c>
      <x:c r="G16" t="str">
        <x:v>totais</x:v>
      </x:c>
      <x:c r="H16" t="n">
        <x:v>44.2</x:v>
      </x:c>
      <x:c r="I16" t="n">
        <x:v>42.7</x:v>
      </x:c>
      <x:c r="J16" t="n">
        <x:v>50.863061</x:v>
      </x:c>
      <x:c r="K16" t="n">
        <x:v>49.136939</x:v>
      </x:c>
      <x:c r="L16" t="n">
        <x:v>-1.726122</x:v>
      </x:c>
      <x:c r="M16" t="n">
        <x:v>1</x:v>
      </x:c>
      <x:c r="N16" t="n">
        <x:v>0.656259</x:v>
      </x:c>
      <x:c r="O16" t="n">
        <x:v>2.771507</x:v>
      </x:c>
      <x:c r="P16" t="n">
        <x:v>0.692877</x:v>
      </x:c>
      <x:c r="Q16" t="n">
        <x:v>49.829816</x:v>
      </x:c>
      <x:c r="R16" t="n">
        <x:v>50.170184</x:v>
      </x:c>
      <x:c r="S16" t="str">
        <x:v>https://e26.cog.ia.br/eleicoes/pesquisas?cargo=presidente</x:v>
      </x:c>
    </x:row>
    <x:row r="17" ht="21" customHeight="1">
      <x:c r="A17" t="str">
        <x:v>AtlasIntel</x:v>
      </x:c>
      <x:c r="B17" t="str">
        <x:v>2026-10-03</x:v>
      </x:c>
      <x:c r="C17" t="str">
        <x:v>2026-10-08</x:v>
      </x:c>
      <x:c r="D17" t="str">
        <x:v>BR-03663/2026</x:v>
      </x:c>
      <x:c r="E17" t="n">
        <x:v>5000</x:v>
      </x:c>
      <x:c r="F17" t="str">
        <x:v>online</x:v>
      </x:c>
      <x:c r="G17" t="str">
        <x:v>totais</x:v>
      </x:c>
      <x:c r="H17" t="n">
        <x:v>45.7</x:v>
      </x:c>
      <x:c r="I17" t="n">
        <x:v>51.1</x:v>
      </x:c>
      <x:c r="J17" t="n">
        <x:v>47.210744</x:v>
      </x:c>
      <x:c r="K17" t="n">
        <x:v>52.789256</x:v>
      </x:c>
      <x:c r="L17" t="n">
        <x:v>5.578512</x:v>
      </x:c>
      <x:c r="M17" t="n">
        <x:v>1</x:v>
      </x:c>
      <x:c r="N17" t="n">
        <x:v>0.466331</x:v>
      </x:c>
      <x:c r="O17" t="n">
        <x:v>3.723601</x:v>
      </x:c>
      <x:c r="P17" t="n">
        <x:v>0.9309</x:v>
      </x:c>
      <x:c r="Q17" t="n">
        <x:v>53.720156</x:v>
      </x:c>
      <x:c r="R17" t="n">
        <x:v>46.279844</x:v>
      </x:c>
      <x:c r="S17" t="str">
        <x:v>https://e26.cog.ia.br/eleicoes/pesquisas?cargo=presidente</x:v>
      </x:c>
    </x:row>
    <x:row r="18" ht="21" customHeight="1">
      <x:c r="A18" t="str">
        <x:v>Ipespe</x:v>
      </x:c>
      <x:c r="B18" t="str">
        <x:v>2026-10-06</x:v>
      </x:c>
      <x:c r="C18" t="str">
        <x:v>2026-10-08</x:v>
      </x:c>
      <x:c r="D18" t="str">
        <x:v>BR-00933/2026</x:v>
      </x:c>
      <x:c r="E18" t="n">
        <x:v>1500</x:v>
      </x:c>
      <x:c r="F18" t="str">
        <x:v>telefone</x:v>
      </x:c>
      <x:c r="G18" t="str">
        <x:v>totais</x:v>
      </x:c>
      <x:c r="H18" t="n">
        <x:v>44</x:v>
      </x:c>
      <x:c r="I18" t="n">
        <x:v>49</x:v>
      </x:c>
      <x:c r="J18" t="n">
        <x:v>47.311828</x:v>
      </x:c>
      <x:c r="K18" t="n">
        <x:v>52.688172</x:v>
      </x:c>
      <x:c r="L18" t="n">
        <x:v>5.376344</x:v>
      </x:c>
      <x:c r="M18" t="n">
        <x:v>1</x:v>
      </x:c>
      <x:c r="N18" t="n">
        <x:v>0.524513</x:v>
      </x:c>
      <x:c r="O18" t="n">
        <x:v>3.368966</x:v>
      </x:c>
      <x:c r="P18" t="n">
        <x:v>0.842241</x:v>
      </x:c>
      <x:c r="Q18" t="n">
        <x:v>53.530413</x:v>
      </x:c>
      <x:c r="R18" t="n">
        <x:v>46.469587</x:v>
      </x:c>
      <x:c r="S18" t="str">
        <x:v>https://e26.cog.ia.br/eleicoes/pesquisas?cargo=presidente</x:v>
      </x:c>
    </x:row>
    <x:row r="19" ht="21" customHeight="1">
      <x:c r="A19" t="str">
        <x:v>DataTrends</x:v>
      </x:c>
      <x:c r="B19" t="str">
        <x:v>2026-10-07</x:v>
      </x:c>
      <x:c r="C19" t="str">
        <x:v>2026-10-09</x:v>
      </x:c>
      <x:c r="D19" t="str">
        <x:v>BR-03576/2026</x:v>
      </x:c>
      <x:c r="E19" t="n">
        <x:v>2000</x:v>
      </x:c>
      <x:c r="F19" t="str">
        <x:v>nao_informado</x:v>
      </x:c>
      <x:c r="G19" t="str">
        <x:v>validos</x:v>
      </x:c>
      <x:c r="H19" t="n">
        <x:v>46.9</x:v>
      </x:c>
      <x:c r="I19" t="n">
        <x:v>53.1</x:v>
      </x:c>
      <x:c r="J19" t="n">
        <x:v>46.9</x:v>
      </x:c>
      <x:c r="K19" t="n">
        <x:v>53.1</x:v>
      </x:c>
      <x:c r="L19" t="n">
        <x:v>6.2</x:v>
      </x:c>
      <x:c r="M19" t="n">
        <x:v>1</x:v>
      </x:c>
      <x:c r="N19" t="n">
        <x:v>0.53033</x:v>
      </x:c>
      <x:c r="O19" t="n">
        <x:v>3.368966</x:v>
      </x:c>
      <x:c r="P19" t="n">
        <x:v>0.842241</x:v>
      </x:c>
      <x:c r="Q19" t="n">
        <x:v>53.942241</x:v>
      </x:c>
      <x:c r="R19" t="n">
        <x:v>46.057759</x:v>
      </x:c>
      <x:c r="S19" t="str">
        <x:v>https://e26.cog.ia.br/eleicoes/pesquisas?cargo=presidente</x:v>
      </x:c>
    </x:row>
    <x:row r="20" ht="21" customHeight="1">
      <x:c r="A20" t="str">
        <x:v>Futura</x:v>
      </x:c>
      <x:c r="B20" t="str">
        <x:v>2026-10-07</x:v>
      </x:c>
      <x:c r="C20" t="str">
        <x:v>2026-10-10</x:v>
      </x:c>
      <x:c r="D20" t="str">
        <x:v>BR-00650/2026</x:v>
      </x:c>
      <x:c r="E20" t="n">
        <x:v>2000</x:v>
      </x:c>
      <x:c r="F20" t="str">
        <x:v>telefone</x:v>
      </x:c>
      <x:c r="G20" t="str">
        <x:v>totais</x:v>
      </x:c>
      <x:c r="H20" t="n">
        <x:v>46.6</x:v>
      </x:c>
      <x:c r="I20" t="n">
        <x:v>50</x:v>
      </x:c>
      <x:c r="J20" t="n">
        <x:v>48.240166</x:v>
      </x:c>
      <x:c r="K20" t="n">
        <x:v>51.759834</x:v>
      </x:c>
      <x:c r="L20" t="n">
        <x:v>3.519669</x:v>
      </x:c>
      <x:c r="M20" t="n">
        <x:v>1</x:v>
      </x:c>
      <x:c r="N20" t="n">
        <x:v>0.668697</x:v>
      </x:c>
      <x:c r="O20" t="n">
        <x:v>2.257382</x:v>
      </x:c>
      <x:c r="P20" t="n">
        <x:v>0.564346</x:v>
      </x:c>
      <x:c r="Q20" t="n">
        <x:v>52.32418</x:v>
      </x:c>
      <x:c r="R20" t="n">
        <x:v>47.67582</x:v>
      </x:c>
      <x:c r="S20" t="str">
        <x:v>https://e26.cog.ia.br/eleicoes/pesquisas?cargo=presidente</x:v>
      </x:c>
    </x:row>
    <x:row r="21" ht="21" customHeight="1">
      <x:c r="A21" t="str">
        <x:v>Gerp</x:v>
      </x:c>
      <x:c r="B21" t="str">
        <x:v>2026-10-08</x:v>
      </x:c>
      <x:c r="C21" t="str">
        <x:v>2026-10-12</x:v>
      </x:c>
      <x:c r="D21" t="str">
        <x:v>BR-07877/2026</x:v>
      </x:c>
      <x:c r="E21" t="n">
        <x:v>2400</x:v>
      </x:c>
      <x:c r="F21" t="str">
        <x:v>telefone</x:v>
      </x:c>
      <x:c r="G21" t="str">
        <x:v>totais</x:v>
      </x:c>
      <x:c r="H21" t="n">
        <x:v>44</x:v>
      </x:c>
      <x:c r="I21" t="n">
        <x:v>53</x:v>
      </x:c>
      <x:c r="J21" t="n">
        <x:v>45.360825</x:v>
      </x:c>
      <x:c r="K21" t="n">
        <x:v>54.639175</x:v>
      </x:c>
      <x:c r="L21" t="n">
        <x:v>9.278351</x:v>
      </x:c>
      <x:c r="M21" t="n">
        <x:v>1</x:v>
      </x:c>
      <x:c r="N21" t="n">
        <x:v>0.808769</x:v>
      </x:c>
      <x:c r="O21" t="n">
        <x:v>2.494224</x:v>
      </x:c>
      <x:c r="P21" t="n">
        <x:v>0.623556</x:v>
      </x:c>
      <x:c r="Q21" t="n">
        <x:v>55.262731</x:v>
      </x:c>
      <x:c r="R21" t="n">
        <x:v>44.737269</x:v>
      </x:c>
      <x:c r="S21" t="str">
        <x:v>https://e26.cog.ia.br/eleicoes/pesquisas?cargo=presidente</x:v>
      </x:c>
    </x:row>
    <x:row r="22" ht="21" customHeight="1">
      <x:c r="A22" t="str">
        <x:v>Nexus</x:v>
      </x:c>
      <x:c r="B22" t="str">
        <x:v>2026-10-10</x:v>
      </x:c>
      <x:c r="C22" t="str">
        <x:v>2026-10-12</x:v>
      </x:c>
      <x:c r="D22" t="str">
        <x:v>BR-07997/2026</x:v>
      </x:c>
      <x:c r="E22" t="n">
        <x:v>2000</x:v>
      </x:c>
      <x:c r="F22" t="str">
        <x:v>telefone</x:v>
      </x:c>
      <x:c r="G22" t="str">
        <x:v>totais</x:v>
      </x:c>
      <x:c r="H22" t="n">
        <x:v>45</x:v>
      </x:c>
      <x:c r="I22" t="n">
        <x:v>48</x:v>
      </x:c>
      <x:c r="J22" t="n">
        <x:v>48.387097</x:v>
      </x:c>
      <x:c r="K22" t="n">
        <x:v>51.612903</x:v>
      </x:c>
      <x:c r="L22" t="n">
        <x:v>3.225806</x:v>
      </x:c>
      <x:c r="M22" t="n">
        <x:v>1</x:v>
      </x:c>
      <x:c r="N22" t="n">
        <x:v>0.738302</x:v>
      </x:c>
      <x:c r="O22" t="n">
        <x:v>4.310014</x:v>
      </x:c>
      <x:c r="P22" t="n">
        <x:v>1.077503</x:v>
      </x:c>
      <x:c r="Q22" t="n">
        <x:v>52.690407</x:v>
      </x:c>
      <x:c r="R22" t="n">
        <x:v>47.309593</x:v>
      </x:c>
      <x:c r="S22" t="str">
        <x:v>https://e26.cog.ia.br/eleicoes/pesquisas?cargo=presidente</x:v>
      </x:c>
    </x:row>
    <x:row r="23" ht="21" customHeight="1">
      <x:c r="A23" t="str">
        <x:v>PoderData</x:v>
      </x:c>
      <x:c r="B23" t="str">
        <x:v>2026-10-10</x:v>
      </x:c>
      <x:c r="C23" t="str">
        <x:v>2026-10-12</x:v>
      </x:c>
      <x:c r="D23" t="str">
        <x:v>BR-01209/2026</x:v>
      </x:c>
      <x:c r="E23" t="n">
        <x:v>3000</x:v>
      </x:c>
      <x:c r="F23" t="str">
        <x:v>telefone</x:v>
      </x:c>
      <x:c r="G23" t="str">
        <x:v>validos</x:v>
      </x:c>
      <x:c r="H23" t="n">
        <x:v>49</x:v>
      </x:c>
      <x:c r="I23" t="n">
        <x:v>51</x:v>
      </x:c>
      <x:c r="J23" t="n">
        <x:v>49</x:v>
      </x:c>
      <x:c r="K23" t="n">
        <x:v>51</x:v>
      </x:c>
      <x:c r="L23" t="n">
        <x:v>2</x:v>
      </x:c>
      <x:c r="M23" t="n">
        <x:v>0</x:v>
      </x:c>
      <x:c r="N23" t="n">
        <x:v>0</x:v>
      </x:c>
      <x:c r="O23" t="n">
        <x:v>3.260182</x:v>
      </x:c>
      <x:c r="P23" t="n">
        <x:v>0.815045</x:v>
      </x:c>
      <x:c r="Q23" t="n">
        <x:v>51.815045</x:v>
      </x:c>
      <x:c r="R23" t="n">
        <x:v>48.184955</x:v>
      </x:c>
      <x:c r="S23" t="str">
        <x:v>https://e26.cog.ia.br/eleicoes/pesquisas?cargo=presidente</x:v>
      </x:c>
    </x:row>
    <x:row r="24" ht="21" customHeight="1">
      <x:c r="A24" t="str">
        <x:v>Quaest</x:v>
      </x:c>
      <x:c r="B24" t="str">
        <x:v>2026-10-10</x:v>
      </x:c>
      <x:c r="C24" t="str">
        <x:v>2026-10-13</x:v>
      </x:c>
      <x:c r="D24" t="str">
        <x:v>BR-08729/2026</x:v>
      </x:c>
      <x:c r="E24" t="n">
        <x:v>2154</x:v>
      </x:c>
      <x:c r="F24" t="str">
        <x:v>presencial</x:v>
      </x:c>
      <x:c r="G24" t="str">
        <x:v>totais</x:v>
      </x:c>
      <x:c r="H24" t="n">
        <x:v>44</x:v>
      </x:c>
      <x:c r="I24" t="n">
        <x:v>46</x:v>
      </x:c>
      <x:c r="J24" t="n">
        <x:v>48.888889</x:v>
      </x:c>
      <x:c r="K24" t="n">
        <x:v>51.111111</x:v>
      </x:c>
      <x:c r="L24" t="n">
        <x:v>2.222222</x:v>
      </x:c>
      <x:c r="M24" t="n">
        <x:v>1</x:v>
      </x:c>
      <x:c r="N24" t="n">
        <x:v>0.894543</x:v>
      </x:c>
      <x:c r="O24" t="n">
        <x:v>3.568937</x:v>
      </x:c>
      <x:c r="P24" t="n">
        <x:v>0.892234</x:v>
      </x:c>
      <x:c r="Q24" t="n">
        <x:v>52.003345</x:v>
      </x:c>
      <x:c r="R24" t="n">
        <x:v>47.996655</x:v>
      </x:c>
      <x:c r="S24" t="str">
        <x:v>https://e26.cog.ia.br/eleicoes/pesquisas?cargo=presidente</x:v>
      </x:c>
    </x:row>
    <x:row r="25" ht="21" customHeight="1">
      <x:c r="A25" t="str">
        <x:v>Datafolha</x:v>
      </x:c>
      <x:c r="B25" t="str">
        <x:v>2026-10-13</x:v>
      </x:c>
      <x:c r="C25" t="str">
        <x:v>2026-10-14</x:v>
      </x:c>
      <x:c r="D25" t="str">
        <x:v>BR-00466/2026</x:v>
      </x:c>
      <x:c r="E25" t="n">
        <x:v>2520</x:v>
      </x:c>
      <x:c r="F25" t="str">
        <x:v>presencial</x:v>
      </x:c>
      <x:c r="G25" t="str">
        <x:v>totais</x:v>
      </x:c>
      <x:c r="H25" t="n">
        <x:v>45</x:v>
      </x:c>
      <x:c r="I25" t="n">
        <x:v>47</x:v>
      </x:c>
      <x:c r="J25" t="n">
        <x:v>48.913043</x:v>
      </x:c>
      <x:c r="K25" t="n">
        <x:v>51.086957</x:v>
      </x:c>
      <x:c r="L25" t="n">
        <x:v>2.173913</x:v>
      </x:c>
      <x:c r="M25" t="n">
        <x:v>1</x:v>
      </x:c>
      <x:c r="N25" t="n">
        <x:v>1.016672</x:v>
      </x:c>
      <x:c r="O25" t="n">
        <x:v>3.531859</x:v>
      </x:c>
      <x:c r="P25" t="n">
        <x:v>0.882965</x:v>
      </x:c>
      <x:c r="Q25" t="n">
        <x:v>51.969921</x:v>
      </x:c>
      <x:c r="R25" t="n">
        <x:v>48.030079</x:v>
      </x:c>
      <x:c r="S25" t="str">
        <x:v>https://www1.folha.uol.com.br/poder/2026/10/datafolha-flavio-bolsonaro-tem-51-e-lula-49-dos-votos-validos-um-empate-tecnico.shtml</x:v>
      </x:c>
    </x:row>
    <x:row r="26" ht="21" customHeight="1">
      <x:c r="A26" t="str">
        <x:v>Indexa</x:v>
      </x:c>
      <x:c r="B26" t="str">
        <x:v>2026-10-13</x:v>
      </x:c>
      <x:c r="C26" t="str">
        <x:v>2026-10-14</x:v>
      </x:c>
      <x:c r="D26" t="str">
        <x:v>BR-04629/2026</x:v>
      </x:c>
      <x:c r="E26" t="n">
        <x:v>2000</x:v>
      </x:c>
      <x:c r="F26" t="str">
        <x:v>telefone</x:v>
      </x:c>
      <x:c r="G26" t="str">
        <x:v>totais</x:v>
      </x:c>
      <x:c r="H26" t="n">
        <x:v>42</x:v>
      </x:c>
      <x:c r="I26" t="n">
        <x:v>44</x:v>
      </x:c>
      <x:c r="J26" t="n">
        <x:v>48.837209</x:v>
      </x:c>
      <x:c r="K26" t="n">
        <x:v>51.162791</x:v>
      </x:c>
      <x:c r="L26" t="n">
        <x:v>2.325581</x:v>
      </x:c>
      <x:c r="M26" t="n">
        <x:v>1</x:v>
      </x:c>
      <x:c r="N26" t="n">
        <x:v>0.815151</x:v>
      </x:c>
      <x:c r="O26" t="n">
        <x:v>4.464813</x:v>
      </x:c>
      <x:c r="P26" t="n">
        <x:v>1.116203</x:v>
      </x:c>
      <x:c r="Q26" t="n">
        <x:v>52.278994</x:v>
      </x:c>
      <x:c r="R26" t="n">
        <x:v>47.721006</x:v>
      </x:c>
      <x:c r="S26" t="str">
        <x:v>https://e26.cog.ia.br/eleicoes/pesquisas?cargo=presidente</x:v>
      </x:c>
    </x:row>
    <x:row r="27" ht="21" customHeight="1">
      <x:c r="A27" t="str">
        <x:v>Palver</x:v>
      </x:c>
      <x:c r="B27" t="str">
        <x:v>2026-10-10</x:v>
      </x:c>
      <x:c r="C27" t="str">
        <x:v>2026-10-14</x:v>
      </x:c>
      <x:c r="D27" t="str">
        <x:v>BR-08028/2026</x:v>
      </x:c>
      <x:c r="E27" t="n">
        <x:v>5000</x:v>
      </x:c>
      <x:c r="F27" t="str">
        <x:v>online</x:v>
      </x:c>
      <x:c r="G27" t="str">
        <x:v>totais</x:v>
      </x:c>
      <x:c r="H27" t="n">
        <x:v>49</x:v>
      </x:c>
      <x:c r="I27" t="n">
        <x:v>50</x:v>
      </x:c>
      <x:c r="J27" t="n">
        <x:v>49.494949</x:v>
      </x:c>
      <x:c r="K27" t="n">
        <x:v>50.505051</x:v>
      </x:c>
      <x:c r="L27" t="n">
        <x:v>1.010101</x:v>
      </x:c>
      <x:c r="M27" t="n">
        <x:v>1</x:v>
      </x:c>
      <x:c r="N27" t="n">
        <x:v>0.896621</x:v>
      </x:c>
      <x:c r="O27" t="n">
        <x:v>1.969224</x:v>
      </x:c>
      <x:c r="P27" t="n">
        <x:v>0.492306</x:v>
      </x:c>
      <x:c r="Q27" t="n">
        <x:v>50.997357</x:v>
      </x:c>
      <x:c r="R27" t="n">
        <x:v>49.002643</x:v>
      </x:c>
      <x:c r="S27" t="str">
        <x:v>https://e26.cog.ia.br/eleicoes/pesquisas?cargo=presidente</x:v>
      </x:c>
    </x:row>
    <x:row r="28" ht="21" customHeight="1">
      <x:c r="A28" t="str">
        <x:v>MDA</x:v>
      </x:c>
      <x:c r="B28" t="str">
        <x:v>2026-10-13</x:v>
      </x:c>
      <x:c r="C28" t="str">
        <x:v>2026-10-15</x:v>
      </x:c>
      <x:c r="D28" t="str">
        <x:v>BR-00652/2026</x:v>
      </x:c>
      <x:c r="E28" t="n">
        <x:v>2014</x:v>
      </x:c>
      <x:c r="F28" t="str">
        <x:v>presencial</x:v>
      </x:c>
      <x:c r="G28" t="str">
        <x:v>validos</x:v>
      </x:c>
      <x:c r="H28" t="n">
        <x:v>49.5</x:v>
      </x:c>
      <x:c r="I28" t="n">
        <x:v>50.5</x:v>
      </x:c>
      <x:c r="J28" t="n">
        <x:v>49.5</x:v>
      </x:c>
      <x:c r="K28" t="n">
        <x:v>50.5</x:v>
      </x:c>
      <x:c r="L28" t="n">
        <x:v>1</x:v>
      </x:c>
      <x:c r="M28" t="n">
        <x:v>1</x:v>
      </x:c>
      <x:c r="N28" t="n">
        <x:v>0.95502</x:v>
      </x:c>
      <x:c r="O28" t="n">
        <x:v>4.406184</x:v>
      </x:c>
      <x:c r="P28" t="n">
        <x:v>1.101546</x:v>
      </x:c>
      <x:c r="Q28" t="n">
        <x:v>51.601546</x:v>
      </x:c>
      <x:c r="R28" t="n">
        <x:v>48.398454</x:v>
      </x:c>
      <x:c r="S28" t="str">
        <x:v>https://noticias.uol.com.br/eleicoes/2026/10/16/cntmda-pesquisa-presidencial-2-turno.ghtm</x:v>
      </x:c>
    </x:row>
    <x:row r="29" ht="21" customHeight="1">
      <x:c r="A29" t="str">
        <x:v>PoderData</x:v>
      </x:c>
      <x:c r="B29" t="str">
        <x:v>2026-10-13</x:v>
      </x:c>
      <x:c r="C29" t="str">
        <x:v>2026-10-15</x:v>
      </x:c>
      <x:c r="D29" t="str">
        <x:v>BR-04258/2026</x:v>
      </x:c>
      <x:c r="E29" t="n">
        <x:v>3000</x:v>
      </x:c>
      <x:c r="F29" t="str">
        <x:v>telefone</x:v>
      </x:c>
      <x:c r="G29" t="str">
        <x:v>validos</x:v>
      </x:c>
      <x:c r="H29" t="n">
        <x:v>50</x:v>
      </x:c>
      <x:c r="I29" t="n">
        <x:v>50</x:v>
      </x:c>
      <x:c r="J29" t="n">
        <x:v>50</x:v>
      </x:c>
      <x:c r="K29" t="n">
        <x:v>50</x:v>
      </x:c>
      <x:c r="L29" t="n">
        <x:v>0</x:v>
      </x:c>
      <x:c r="M29" t="n">
        <x:v>1</x:v>
      </x:c>
      <x:c r="N29" t="n">
        <x:v>1.049025</x:v>
      </x:c>
      <x:c r="O29" t="n">
        <x:v>3.260182</x:v>
      </x:c>
      <x:c r="P29" t="n">
        <x:v>0.815045</x:v>
      </x:c>
      <x:c r="Q29" t="n">
        <x:v>50.815045</x:v>
      </x:c>
      <x:c r="R29" t="n">
        <x:v>49.184955</x:v>
      </x:c>
      <x:c r="S29" t="str">
        <x:v>https://www.poder360.com.br/poderdata/pesquisa-poderdata-aya-leia-resultados-de-lula-e-flavio-no-2o-turno/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9" hidden="0" customWidth="1"/>
    <x:col min="4" max="4" width="19" hidden="0" customWidth="1"/>
    <x:col min="5" max="5" width="17" hidden="0" customWidth="1"/>
    <x:col min="6" max="6" width="14" hidden="0" customWidth="1"/>
    <x:col min="7" max="7" width="24" hidden="0" customWidth="1"/>
    <x:col min="8" max="8" width="21" hidden="0" customWidth="1"/>
    <x:col min="9" max="9" width="21" hidden="0" customWidth="1"/>
    <x:col min="10" max="10" width="23" hidden="0" customWidth="1"/>
    <x:col min="11" max="11" width="20" hidden="0" customWidth="1"/>
    <x:col min="12" max="12" width="16" hidden="0" customWidth="1"/>
  </x:cols>
  <x:sheetData>
    <x:row r="1" ht="31" customHeight="1">
      <x:c r="A1" s="3" t="str">
        <x:v>Instituto</x:v>
      </x:c>
      <x:c r="B1" s="3" t="str">
        <x:v>Fim campo</x:v>
      </x:c>
      <x:c r="C1" s="3" t="str">
        <x:v>Registro TSE</x:v>
      </x:c>
      <x:c r="D1" s="3" t="str">
        <x:v>Flávio bruto (%)</x:v>
      </x:c>
      <x:c r="E1" s="3" t="str">
        <x:v>Lula bruto (%)</x:v>
      </x:c>
      <x:c r="F1" s="3" t="str">
        <x:v>Peso</x:v>
      </x:c>
      <x:c r="G1" s="3" t="str">
        <x:v>Erro 1T encolhido (pp)</x:v>
      </x:c>
      <x:c r="H1" s="3" t="str">
        <x:v>Flávio ajustado (%)</x:v>
      </x:c>
      <x:c r="I1" s="3" t="str">
        <x:v>Lula ajustado (%)</x:v>
      </x:c>
      <x:c r="J1" s="3" t="str">
        <x:v>Contribuição ajustada</x:v>
      </x:c>
      <x:c r="K1" s="3" t="str">
        <x:v>Contribuição bruta</x:v>
      </x:c>
      <x:c r="L1" s="3" t="str">
        <x:v>Erro × Peso</x:v>
      </x:c>
    </x:row>
    <x:row r="2" ht="23" customHeight="1">
      <x:c r="A2" t="str">
        <x:v>Vox Brasil</x:v>
      </x:c>
      <x:c r="B2" t="str">
        <x:v>2026-10-07</x:v>
      </x:c>
      <x:c r="C2" t="str">
        <x:v>BR-09623/2026</x:v>
      </x:c>
      <x:c r="D2" s="8" t="n">
        <x:v>49.136939</x:v>
      </x:c>
      <x:c r="E2" s="8" t="n">
        <x:v>50.863061</x:v>
      </x:c>
      <x:c r="F2" s="8" t="n">
        <x:v>0.656259</x:v>
      </x:c>
      <x:c r="G2" s="8" t="n">
        <x:v>2.771507</x:v>
      </x:c>
      <x:c r="H2" s="10" t="n">
        <x:f>D2+Painel!$B$7*G2/2</x:f>
        <x:v>49.82981575</x:v>
      </x:c>
      <x:c r="I2" s="10" t="n">
        <x:f>100-H2</x:f>
        <x:v>50.17018425</x:v>
      </x:c>
      <x:c r="J2" s="8" t="n">
        <x:f>H2*F2</x:f>
        <x:v>32.701265054279254</x:v>
      </x:c>
      <x:c r="K2" s="8" t="n">
        <x:f>D2*F2</x:f>
        <x:v>32.246558451201004</x:v>
      </x:c>
      <x:c r="L2" s="8" t="n">
        <x:f>G2*F2</x:f>
        <x:v>1.8188264123130002</x:v>
      </x:c>
    </x:row>
    <x:row r="3" ht="23" customHeight="1">
      <x:c r="A3" t="str">
        <x:v>AtlasIntel</x:v>
      </x:c>
      <x:c r="B3" t="str">
        <x:v>2026-10-08</x:v>
      </x:c>
      <x:c r="C3" t="str">
        <x:v>BR-03663/2026</x:v>
      </x:c>
      <x:c r="D3" s="8" t="n">
        <x:v>52.789256</x:v>
      </x:c>
      <x:c r="E3" s="8" t="n">
        <x:v>47.210744</x:v>
      </x:c>
      <x:c r="F3" s="8" t="n">
        <x:v>0.466331</x:v>
      </x:c>
      <x:c r="G3" s="8" t="n">
        <x:v>3.723601</x:v>
      </x:c>
      <x:c r="H3" s="10" t="n">
        <x:f>D3+Painel!$B$7*G3/2</x:f>
        <x:v>53.72015625</x:v>
      </x:c>
      <x:c r="I3" s="10" t="n">
        <x:f>100-H3</x:f>
        <x:v>46.27984375</x:v>
      </x:c>
      <x:c r="J3" s="8" t="n">
        <x:f>H3*F3</x:f>
        <x:v>25.05137418421875</x:v>
      </x:c>
      <x:c r="K3" s="8" t="n">
        <x:f>D3*F3</x:f>
        <x:v>24.617266539736</x:v>
      </x:c>
      <x:c r="L3" s="8" t="n">
        <x:f>G3*F3</x:f>
        <x:v>1.7364305779309999</x:v>
      </x:c>
    </x:row>
    <x:row r="4" ht="23" customHeight="1">
      <x:c r="A4" t="str">
        <x:v>Ipespe</x:v>
      </x:c>
      <x:c r="B4" t="str">
        <x:v>2026-10-08</x:v>
      </x:c>
      <x:c r="C4" t="str">
        <x:v>BR-00933/2026</x:v>
      </x:c>
      <x:c r="D4" s="8" t="n">
        <x:v>52.688172</x:v>
      </x:c>
      <x:c r="E4" s="8" t="n">
        <x:v>47.311828</x:v>
      </x:c>
      <x:c r="F4" s="8" t="n">
        <x:v>0.524513</x:v>
      </x:c>
      <x:c r="G4" s="8" t="n">
        <x:v>3.368966</x:v>
      </x:c>
      <x:c r="H4" s="10" t="n">
        <x:f>D4+Painel!$B$7*G4/2</x:f>
        <x:v>53.5304135</x:v>
      </x:c>
      <x:c r="I4" s="10" t="n">
        <x:f>100-H4</x:f>
        <x:v>46.4695865</x:v>
      </x:c>
      <x:c r="J4" s="8" t="n">
        <x:f>H4*F4</x:f>
        <x:v>28.0773977761255</x:v>
      </x:c>
      <x:c r="K4" s="8" t="n">
        <x:f>D4*F4</x:f>
        <x:v>27.635631160236002</x:v>
      </x:c>
      <x:c r="L4" s="8" t="n">
        <x:f>G4*F4</x:f>
        <x:v>1.767066463558</x:v>
      </x:c>
    </x:row>
    <x:row r="5" ht="23" customHeight="1">
      <x:c r="A5" t="str">
        <x:v>DataTrends</x:v>
      </x:c>
      <x:c r="B5" t="str">
        <x:v>2026-10-09</x:v>
      </x:c>
      <x:c r="C5" t="str">
        <x:v>BR-03576/2026</x:v>
      </x:c>
      <x:c r="D5" s="8" t="n">
        <x:v>53.1</x:v>
      </x:c>
      <x:c r="E5" s="8" t="n">
        <x:v>46.9</x:v>
      </x:c>
      <x:c r="F5" s="8" t="n">
        <x:v>0.53033</x:v>
      </x:c>
      <x:c r="G5" s="8" t="n">
        <x:v>3.368966</x:v>
      </x:c>
      <x:c r="H5" s="10" t="n">
        <x:f>D5+Painel!$B$7*G5/2</x:f>
        <x:v>53.9422415</x:v>
      </x:c>
      <x:c r="I5" s="10" t="n">
        <x:f>100-H5</x:f>
        <x:v>46.0577585</x:v>
      </x:c>
      <x:c r="J5" s="8" t="n">
        <x:f>H5*F5</x:f>
        <x:v>28.607188934695</x:v>
      </x:c>
      <x:c r="K5" s="8" t="n">
        <x:f>D5*F5</x:f>
        <x:v>28.160522999999998</x:v>
      </x:c>
      <x:c r="L5" s="8" t="n">
        <x:f>G5*F5</x:f>
        <x:v>1.7866637387799997</x:v>
      </x:c>
    </x:row>
    <x:row r="6" ht="23" customHeight="1">
      <x:c r="A6" t="str">
        <x:v>Futura</x:v>
      </x:c>
      <x:c r="B6" t="str">
        <x:v>2026-10-10</x:v>
      </x:c>
      <x:c r="C6" t="str">
        <x:v>BR-00650/2026</x:v>
      </x:c>
      <x:c r="D6" s="8" t="n">
        <x:v>51.759834</x:v>
      </x:c>
      <x:c r="E6" s="8" t="n">
        <x:v>48.240166</x:v>
      </x:c>
      <x:c r="F6" s="8" t="n">
        <x:v>0.668697</x:v>
      </x:c>
      <x:c r="G6" s="8" t="n">
        <x:v>2.257382</x:v>
      </x:c>
      <x:c r="H6" s="10" t="n">
        <x:f>D6+Painel!$B$7*G6/2</x:f>
        <x:v>52.3241795</x:v>
      </x:c>
      <x:c r="I6" s="10" t="n">
        <x:f>100-H6</x:f>
        <x:v>47.6758205</x:v>
      </x:c>
      <x:c r="J6" s="8" t="n">
        <x:f>H6*F6</x:f>
        <x:v>34.989021859111496</x:v>
      </x:c>
      <x:c r="K6" s="8" t="n">
        <x:f>D6*F6</x:f>
        <x:v>34.611645716298</x:v>
      </x:c>
      <x:c r="L6" s="8" t="n">
        <x:f>G6*F6</x:f>
        <x:v>1.509504571254</x:v>
      </x:c>
    </x:row>
    <x:row r="7" ht="23" customHeight="1">
      <x:c r="A7" t="str">
        <x:v>Gerp</x:v>
      </x:c>
      <x:c r="B7" t="str">
        <x:v>2026-10-12</x:v>
      </x:c>
      <x:c r="C7" t="str">
        <x:v>BR-07877/2026</x:v>
      </x:c>
      <x:c r="D7" s="8" t="n">
        <x:v>54.639175</x:v>
      </x:c>
      <x:c r="E7" s="8" t="n">
        <x:v>45.360825</x:v>
      </x:c>
      <x:c r="F7" s="8" t="n">
        <x:v>0.808769</x:v>
      </x:c>
      <x:c r="G7" s="8" t="n">
        <x:v>2.494224</x:v>
      </x:c>
      <x:c r="H7" s="10" t="n">
        <x:f>D7+Painel!$B$7*G7/2</x:f>
        <x:v>55.262731</x:v>
      </x:c>
      <x:c r="I7" s="10" t="n">
        <x:f>100-H7</x:f>
        <x:v>44.737269</x:v>
      </x:c>
      <x:c r="J7" s="8" t="n">
        <x:f>H7*F7</x:f>
        <x:v>44.694783688139</x:v>
      </x:c>
      <x:c r="K7" s="8" t="n">
        <x:f>D7*F7</x:f>
        <x:v>44.190470925575</x:v>
      </x:c>
      <x:c r="L7" s="8" t="n">
        <x:f>G7*F7</x:f>
        <x:v>2.0172510502559997</x:v>
      </x:c>
    </x:row>
    <x:row r="8" ht="23" customHeight="1">
      <x:c r="A8" t="str">
        <x:v>Nexus</x:v>
      </x:c>
      <x:c r="B8" t="str">
        <x:v>2026-10-12</x:v>
      </x:c>
      <x:c r="C8" t="str">
        <x:v>BR-07997/2026</x:v>
      </x:c>
      <x:c r="D8" s="8" t="n">
        <x:v>51.612903</x:v>
      </x:c>
      <x:c r="E8" s="8" t="n">
        <x:v>48.387097</x:v>
      </x:c>
      <x:c r="F8" s="8" t="n">
        <x:v>0.738302</x:v>
      </x:c>
      <x:c r="G8" s="8" t="n">
        <x:v>4.310014</x:v>
      </x:c>
      <x:c r="H8" s="10" t="n">
        <x:f>D8+Painel!$B$7*G8/2</x:f>
        <x:v>52.6904065</x:v>
      </x:c>
      <x:c r="I8" s="10" t="n">
        <x:f>100-H8</x:f>
        <x:v>47.3095935</x:v>
      </x:c>
      <x:c r="J8" s="8" t="n">
        <x:f>H8*F8</x:f>
        <x:v>38.901432499763004</x:v>
      </x:c>
      <x:c r="K8" s="8" t="n">
        <x:f>D8*F8</x:f>
        <x:v>38.105909510706006</x:v>
      </x:c>
      <x:c r="L8" s="8" t="n">
        <x:f>G8*F8</x:f>
        <x:v>3.182091956228</x:v>
      </x:c>
    </x:row>
    <x:row r="9" ht="23" customHeight="1">
      <x:c r="A9" t="str">
        <x:v>Quaest</x:v>
      </x:c>
      <x:c r="B9" t="str">
        <x:v>2026-10-13</x:v>
      </x:c>
      <x:c r="C9" t="str">
        <x:v>BR-08729/2026</x:v>
      </x:c>
      <x:c r="D9" s="8" t="n">
        <x:v>51.111111</x:v>
      </x:c>
      <x:c r="E9" s="8" t="n">
        <x:v>48.888889</x:v>
      </x:c>
      <x:c r="F9" s="8" t="n">
        <x:v>0.894543</x:v>
      </x:c>
      <x:c r="G9" s="8" t="n">
        <x:v>3.568937</x:v>
      </x:c>
      <x:c r="H9" s="10" t="n">
        <x:f>D9+Painel!$B$7*G9/2</x:f>
        <x:v>52.00334525</x:v>
      </x:c>
      <x:c r="I9" s="10" t="n">
        <x:f>100-H9</x:f>
        <x:v>47.99665475</x:v>
      </x:c>
      <x:c r="J9" s="8" t="n">
        <x:f>H9*F9</x:f>
        <x:v>46.51922846997075</x:v>
      </x:c>
      <x:c r="K9" s="8" t="n">
        <x:f>D9*F9</x:f>
        <x:v>45.721086567273</x:v>
      </x:c>
      <x:c r="L9" s="8" t="n">
        <x:f>G9*F9</x:f>
        <x:v>3.192567610791</x:v>
      </x:c>
    </x:row>
    <x:row r="10" ht="23" customHeight="1">
      <x:c r="A10" t="str">
        <x:v>Datafolha</x:v>
      </x:c>
      <x:c r="B10" t="str">
        <x:v>2026-10-14</x:v>
      </x:c>
      <x:c r="C10" t="str">
        <x:v>BR-00466/2026</x:v>
      </x:c>
      <x:c r="D10" s="8" t="n">
        <x:v>51.086957</x:v>
      </x:c>
      <x:c r="E10" s="8" t="n">
        <x:v>48.913043</x:v>
      </x:c>
      <x:c r="F10" s="8" t="n">
        <x:v>1.016672</x:v>
      </x:c>
      <x:c r="G10" s="8" t="n">
        <x:v>3.531859</x:v>
      </x:c>
      <x:c r="H10" s="10" t="n">
        <x:f>D10+Painel!$B$7*G10/2</x:f>
        <x:v>51.96992175</x:v>
      </x:c>
      <x:c r="I10" s="10" t="n">
        <x:f>100-H10</x:f>
        <x:v>48.03007825</x:v>
      </x:c>
      <x:c r="J10" s="8" t="n">
        <x:f>H10*F10</x:f>
        <x:v>52.836364285415996</x:v>
      </x:c>
      <x:c r="K10" s="8" t="n">
        <x:f>D10*F10</x:f>
        <x:v>51.938678747104</x:v>
      </x:c>
      <x:c r="L10" s="8" t="n">
        <x:f>G10*F10</x:f>
        <x:v>3.5907421532479997</x:v>
      </x:c>
    </x:row>
    <x:row r="11" ht="23" customHeight="1">
      <x:c r="A11" t="str">
        <x:v>Indexa</x:v>
      </x:c>
      <x:c r="B11" t="str">
        <x:v>2026-10-14</x:v>
      </x:c>
      <x:c r="C11" t="str">
        <x:v>BR-04629/2026</x:v>
      </x:c>
      <x:c r="D11" s="8" t="n">
        <x:v>51.162791</x:v>
      </x:c>
      <x:c r="E11" s="8" t="n">
        <x:v>48.837209</x:v>
      </x:c>
      <x:c r="F11" s="8" t="n">
        <x:v>0.815151</x:v>
      </x:c>
      <x:c r="G11" s="8" t="n">
        <x:v>4.464813</x:v>
      </x:c>
      <x:c r="H11" s="10" t="n">
        <x:f>D11+Painel!$B$7*G11/2</x:f>
        <x:v>52.27899425</x:v>
      </x:c>
      <x:c r="I11" s="10" t="n">
        <x:f>100-H11</x:f>
        <x:v>47.72100575</x:v>
      </x:c>
      <x:c r="J11" s="8" t="n">
        <x:f>H11*F11</x:f>
        <x:v>42.615274441881745</x:v>
      </x:c>
      <x:c r="K11" s="8" t="n">
        <x:f>D11*F11</x:f>
        <x:v>41.705400246440995</x:v>
      </x:c>
      <x:c r="L11" s="8" t="n">
        <x:f>G11*F11</x:f>
        <x:v>3.639496781763</x:v>
      </x:c>
    </x:row>
    <x:row r="12" ht="23" customHeight="1">
      <x:c r="A12" t="str">
        <x:v>Palver</x:v>
      </x:c>
      <x:c r="B12" t="str">
        <x:v>2026-10-14</x:v>
      </x:c>
      <x:c r="C12" t="str">
        <x:v>BR-08028/2026</x:v>
      </x:c>
      <x:c r="D12" s="8" t="n">
        <x:v>50.505051</x:v>
      </x:c>
      <x:c r="E12" s="8" t="n">
        <x:v>49.494949</x:v>
      </x:c>
      <x:c r="F12" s="8" t="n">
        <x:v>0.896621</x:v>
      </x:c>
      <x:c r="G12" s="8" t="n">
        <x:v>1.969224</x:v>
      </x:c>
      <x:c r="H12" s="10" t="n">
        <x:f>D12+Painel!$B$7*G12/2</x:f>
        <x:v>50.997357</x:v>
      </x:c>
      <x:c r="I12" s="10" t="n">
        <x:f>100-H12</x:f>
        <x:v>49.002643</x:v>
      </x:c>
      <x:c r="J12" s="8" t="n">
        <x:f>H12*F12</x:f>
        <x:v>45.725301230697</x:v>
      </x:c>
      <x:c r="K12" s="8" t="n">
        <x:f>D12*F12</x:f>
        <x:v>45.283889332671</x:v>
      </x:c>
      <x:c r="L12" s="8" t="n">
        <x:f>G12*F12</x:f>
        <x:v>1.765647592104</x:v>
      </x:c>
    </x:row>
    <x:row r="13" ht="23" customHeight="1">
      <x:c r="A13" t="str">
        <x:v>MDA</x:v>
      </x:c>
      <x:c r="B13" t="str">
        <x:v>2026-10-15</x:v>
      </x:c>
      <x:c r="C13" t="str">
        <x:v>BR-00652/2026</x:v>
      </x:c>
      <x:c r="D13" s="8" t="n">
        <x:v>50.5</x:v>
      </x:c>
      <x:c r="E13" s="8" t="n">
        <x:v>49.5</x:v>
      </x:c>
      <x:c r="F13" s="8" t="n">
        <x:v>0.95502</x:v>
      </x:c>
      <x:c r="G13" s="8" t="n">
        <x:v>4.406184</x:v>
      </x:c>
      <x:c r="H13" s="10" t="n">
        <x:f>D13+Painel!$B$7*G13/2</x:f>
        <x:v>51.601546</x:v>
      </x:c>
      <x:c r="I13" s="10" t="n">
        <x:f>100-H13</x:f>
        <x:v>48.398454</x:v>
      </x:c>
      <x:c r="J13" s="8" t="n">
        <x:f>H13*F13</x:f>
        <x:v>49.28050846092</x:v>
      </x:c>
      <x:c r="K13" s="8" t="n">
        <x:f>D13*F13</x:f>
        <x:v>48.22851</x:v>
      </x:c>
      <x:c r="L13" s="8" t="n">
        <x:f>G13*F13</x:f>
        <x:v>4.20799384368</x:v>
      </x:c>
    </x:row>
    <x:row r="14" ht="23" customHeight="1">
      <x:c r="A14" t="str">
        <x:v>PoderData</x:v>
      </x:c>
      <x:c r="B14" t="str">
        <x:v>2026-10-15</x:v>
      </x:c>
      <x:c r="C14" t="str">
        <x:v>BR-04258/2026</x:v>
      </x:c>
      <x:c r="D14" s="8" t="n">
        <x:v>50</x:v>
      </x:c>
      <x:c r="E14" s="8" t="n">
        <x:v>50</x:v>
      </x:c>
      <x:c r="F14" s="8" t="n">
        <x:v>1.049025</x:v>
      </x:c>
      <x:c r="G14" s="8" t="n">
        <x:v>3.260182</x:v>
      </x:c>
      <x:c r="H14" s="10" t="n">
        <x:f>D14+Painel!$B$7*G14/2</x:f>
        <x:v>50.8150455</x:v>
      </x:c>
      <x:c r="I14" s="10" t="n">
        <x:f>100-H14</x:f>
        <x:v>49.1849545</x:v>
      </x:c>
      <x:c r="J14" s="8" t="n">
        <x:f>H14*F14</x:f>
        <x:v>53.3062531056375</x:v>
      </x:c>
      <x:c r="K14" s="8" t="n">
        <x:f>D14*F14</x:f>
        <x:v>52.45125</x:v>
      </x:c>
      <x:c r="L14" s="8" t="n">
        <x:f>G14*F14</x:f>
        <x:v>3.42001242255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1" hidden="0" customWidth="1"/>
    <x:col min="2" max="2" width="21" hidden="0" customWidth="1"/>
    <x:col min="3" max="3" width="13" hidden="0" customWidth="1"/>
    <x:col min="4" max="4" width="15" hidden="0" customWidth="1"/>
    <x:col min="5" max="5" width="15" hidden="0" customWidth="1"/>
    <x:col min="6" max="6" width="31" hidden="0" customWidth="1"/>
    <x:col min="7" max="7" width="22" hidden="0" customWidth="1"/>
  </x:cols>
  <x:sheetData>
    <x:row r="1" ht="39" customHeight="1">
      <x:c r="A1" s="13" t="str">
        <x:v>AGREGADOR ELEITORAL 2026  ·  MODELO AUDITÁVEL</x:v>
      </x:c>
      <x:c r="B1" s="13"/>
      <x:c r="C1" s="13"/>
      <x:c r="D1" s="13"/>
      <x:c r="E1" s="13"/>
      <x:c r="F1" s="13"/>
      <x:c r="G1" s="13"/>
    </x:row>
    <x:row r="2">
      <x:c r="F2" t="str">
        <x:v>Erro médio ativo 2T (pp)</x:v>
      </x:c>
      <x:c r="G2" t="n">
        <x:f>SUM(Ativas_2T!L2:L14)/SUM(Ativas_2T!F2:F14)</x:f>
        <x:v>3.356638031716029</x:v>
      </x:c>
    </x:row>
    <x:row r="3" ht="30" customHeight="1">
      <x:c r="A3" s="17" t="str">
        <x:v>Recorte: 16/10/2026  |  calibração retrospectiva do 1º turno aplicada às pesquisas atuais</x:v>
      </x:c>
      <x:c r="B3" s="17"/>
      <x:c r="C3" s="17"/>
      <x:c r="D3" s="17"/>
      <x:c r="E3" s="17"/>
      <x:c r="F3" s="17"/>
      <x:c r="G3" s="17"/>
    </x:row>
    <x:row r="5">
      <x:c r="A5" t="str">
        <x:v>Votos válidos na urna — Flávio</x:v>
      </x:c>
      <x:c r="B5" s="8" t="n">
        <x:v>47.03</x:v>
      </x:c>
    </x:row>
    <x:row r="6">
      <x:c r="A6" t="str">
        <x:v>Margem da urna (Flávio − Lula), pp</x:v>
      </x:c>
      <x:c r="B6" s="8" t="n">
        <x:v>1.87</x:v>
      </x:c>
    </x:row>
    <x:row r="7">
      <x:c r="A7" t="str">
        <x:v>Transferência do erro para o 2º turno (alfa)</x:v>
      </x:c>
      <x:c r="B7" s="25" t="n">
        <x:v>0.5</x:v>
      </x:c>
    </x:row>
    <x:row r="8">
      <x:c r="A8" t="str">
        <x:v>Fração do efeito específico do instituto</x:v>
      </x:c>
      <x:c r="B8" s="29" t="n">
        <x:v>0.25</x:v>
      </x:c>
    </x:row>
    <x:row r="9">
      <x:c r="A9" t="str">
        <x:v>Erro comum ponderado no 1º turno (pp)</x:v>
      </x:c>
      <x:c r="B9" s="8" t="n">
        <x:v>3.3689658006765173</x:v>
      </x:c>
    </x:row>
    <x:row r="10">
      <x:c r="A10" t="str">
        <x:v>Votos válidos Flávio — agregado SEM viés</x:v>
      </x:c>
      <x:c r="B10" s="8" t="n">
        <x:f>SUM(Ativas_2T!K2:K14)/SUM(Ativas_2T!F2:F14)</x:f>
        <x:v>51.385713305992084</x:v>
      </x:c>
    </x:row>
    <x:row r="11" ht="26" customHeight="1">
      <x:c r="A11" s="33" t="str">
        <x:v>Votos válidos Flávio — agregado COM viés</x:v>
      </x:c>
      <x:c r="B11" s="34" t="n">
        <x:f>SUM(Ativas_2T!J2:J14)/SUM(Ativas_2T!F2:F14)</x:f>
        <x:v>52.224872813921095</x:v>
      </x:c>
    </x:row>
    <x:row r="12" ht="26" customHeight="1">
      <x:c r="A12" s="33" t="str">
        <x:v>Votos válidos Lula — agregado SEM viés</x:v>
      </x:c>
      <x:c r="B12" s="34" t="n">
        <x:f>100-B10</x:f>
        <x:v>48.614286694007916</x:v>
      </x:c>
    </x:row>
    <x:row r="13" ht="26" customHeight="1">
      <x:c r="A13" s="33" t="str">
        <x:v>Votos válidos Lula — agregado COM viés</x:v>
      </x:c>
      <x:c r="B13" s="34" t="n">
        <x:f>100-B11</x:f>
        <x:v>47.775127186078905</x:v>
      </x:c>
    </x:row>
    <x:row r="14" ht="26" customHeight="1">
      <x:c r="A14" s="33" t="str">
        <x:v>Margem ajustada (Flávio − Lula), pp</x:v>
      </x:c>
      <x:c r="B14" s="34" t="n">
        <x:f>B11-B13</x:f>
        <x:v>4.449745627842191</x:v>
      </x:c>
    </x:row>
    <x:row r="15" ht="26" customHeight="1">
      <x:c r="B15" s="8"/>
    </x:row>
    <x:row r="17">
      <x:c r="A17" t="str">
        <x:v>Pesquisas históricas do 1º turno</x:v>
      </x:c>
      <x:c r="B17" t="n">
        <x:v>46</x:v>
      </x:c>
    </x:row>
    <x:row r="18">
      <x:c r="A18" t="str">
        <x:v>Pesquisas históricas do 2º turno</x:v>
      </x:c>
      <x:c r="B18" t="n">
        <x:v>28</x:v>
      </x:c>
    </x:row>
    <x:row r="19">
      <x:c r="A19" t="str">
        <x:v>Institutos calibrados no 1º turno</x:v>
      </x:c>
      <x:c r="B19" t="n">
        <x:v>13</x:v>
      </x:c>
    </x:row>
    <x:row r="20">
      <x:c r="A20" t="str">
        <x:v>Institutos no agregado corrente do 2º turno</x:v>
      </x:c>
      <x:c r="B20" t="n">
        <x:v>13</x:v>
      </x:c>
    </x:row>
    <x:row r="22" ht="28" customHeight="1">
      <x:c r="A22" s="17" t="str">
        <x:v>Altere B7 (alfa) para comparar cenários. Para mudar B8 (shrink) ou parâmetros, execute o script Python novamente.</x:v>
      </x:c>
      <x:c r="B22" s="17"/>
      <x:c r="C22" s="17"/>
      <x:c r="D22" s="17"/>
      <x:c r="E22" s="17"/>
      <x:c r="F22" s="17"/>
      <x:c r="G22" s="17"/>
    </x:row>
    <x:row r="24" ht="29" customHeight="1">
      <x:c r="A24" s="21" t="str">
        <x:v>ATENÇÃO: correção exploratória, não estimativa validada de viés permanente nem probabilidade de vitória.</x:v>
      </x:c>
      <x:c r="B24" s="21"/>
      <x:c r="C24" s="21"/>
      <x:c r="D24" s="21"/>
      <x:c r="E24" s="21"/>
      <x:c r="F24" s="21"/>
      <x:c r="G24" s="21"/>
    </x:row>
  </x:sheetData>
  <x:mergeCells>
    <x:mergeCell ref="A1:G1"/>
    <x:mergeCell ref="A3:G3"/>
    <x:mergeCell ref="A22:G22"/>
    <x:mergeCell ref="A24:G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9" customHeight="1">
      <x:c r="A1" s="3" t="str">
        <x:v>Alfa</x:v>
      </x:c>
      <x:c r="B1" s="3" t="str">
        <x:v>Flávio válido (%)</x:v>
      </x:c>
      <x:c r="C1" s="3" t="str">
        <x:v>Lula válido (%)</x:v>
      </x:c>
      <x:c r="D1" s="3" t="str">
        <x:v>Margem F−L (pp)</x:v>
      </x:c>
    </x:row>
    <x:row r="2">
      <x:c r="A2" s="8" t="n">
        <x:v>0</x:v>
      </x:c>
      <x:c r="B2" s="8" t="n">
        <x:f>Painel!$B$10+A2*Painel!$G$2/2</x:f>
        <x:v>51.385713305992084</x:v>
      </x:c>
      <x:c r="C2" s="8" t="n">
        <x:f>100-B2</x:f>
        <x:v>48.614286694007916</x:v>
      </x:c>
      <x:c r="D2" s="8" t="n">
        <x:f>B2-C2</x:f>
        <x:v>2.771426611984168</x:v>
      </x:c>
    </x:row>
    <x:row r="3">
      <x:c r="A3" s="8" t="n">
        <x:v>0.25</x:v>
      </x:c>
      <x:c r="B3" s="8" t="n">
        <x:f>Painel!$B$10+A3*Painel!$G$2/2</x:f>
        <x:v>51.80529305995659</x:v>
      </x:c>
      <x:c r="C3" s="8" t="n">
        <x:f>100-B3</x:f>
        <x:v>48.19470694004341</x:v>
      </x:c>
      <x:c r="D3" s="8" t="n">
        <x:f>B3-C3</x:f>
        <x:v>3.6105861199131795</x:v>
      </x:c>
    </x:row>
    <x:row r="4">
      <x:c r="A4" s="34" t="n">
        <x:v>0.5</x:v>
      </x:c>
      <x:c r="B4" s="34" t="n">
        <x:f>Painel!$B$10+A4*Painel!$G$2/2</x:f>
        <x:v>52.22487281392109</x:v>
      </x:c>
      <x:c r="C4" s="34" t="n">
        <x:f>100-B4</x:f>
        <x:v>47.77512718607891</x:v>
      </x:c>
      <x:c r="D4" s="34" t="n">
        <x:f>B4-C4</x:f>
        <x:v>4.4497456278421765</x:v>
      </x:c>
    </x:row>
    <x:row r="5">
      <x:c r="A5" s="8" t="n">
        <x:v>0.75</x:v>
      </x:c>
      <x:c r="B5" s="8" t="n">
        <x:f>Painel!$B$10+A5*Painel!$G$2/2</x:f>
        <x:v>52.644452567885594</x:v>
      </x:c>
      <x:c r="C5" s="8" t="n">
        <x:f>100-B5</x:f>
        <x:v>47.355547432114406</x:v>
      </x:c>
      <x:c r="D5" s="8" t="n">
        <x:f>B5-C5</x:f>
        <x:v>5.288905135771188</x:v>
      </x:c>
    </x:row>
    <x:row r="6">
      <x:c r="A6" s="8" t="n">
        <x:v>1</x:v>
      </x:c>
      <x:c r="B6" s="8" t="n">
        <x:f>Painel!$B$10+A6*Painel!$G$2/2</x:f>
        <x:v>53.0640323218501</x:v>
      </x:c>
      <x:c r="C6" s="8" t="n">
        <x:f>100-B6</x:f>
        <x:v>46.9359676781499</x:v>
      </x:c>
      <x:c r="D6" s="8" t="n">
        <x:f>B6-C6</x:f>
        <x:v>6.128064643700199</x:v>
      </x:c>
    </x:row>
    <x:row r="8">
      <x:c r="A8" t="str">
        <x:v>Alfa = fração hipotética do erro do primeiro turno que persiste no segundo.</x:v>
      </x:c>
    </x:row>
    <x:row r="9">
      <x:c r="A9" t="str">
        <x:v>Esses cenários são condicionais: não medem chances de vitória.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8" hidden="0" customWidth="1"/>
  </x:cols>
  <x:sheetData>
    <x:row r="1" ht="29" customHeight="1">
      <x:c r="A1" s="3" t="str">
        <x:v>Campo</x:v>
      </x:c>
      <x:c r="B1" s="3" t="str">
        <x:v>Especificação / limitação</x:v>
      </x:c>
    </x:row>
    <x:row r="2" ht="29" customHeight="1">
      <x:c r="A2" t="str">
        <x:v>Fonte das pesquisas</x:v>
      </x:c>
      <x:c r="B2" t="str">
        <x:v>https://e26.cog.ia.br/eleicoes/pesquisas?cargo=presidente</x:v>
      </x:c>
    </x:row>
    <x:row r="3" ht="29" customHeight="1">
      <x:c r="A3" t="str">
        <x:v>Fonte oficial urna</x:v>
      </x:c>
      <x:c r="B3" t="str">
        <x:v>https://www.tse.jus.br/comunicacao/noticias/2026/Outubro/flavio-bolsonaro-e-lula-vao-disputar-o-2o-turno-para-a-presidencia-da-republica</x:v>
      </x:c>
    </x:row>
    <x:row r="4" ht="29" customHeight="1">
      <x:c r="A4" t="str">
        <x:v>Escopo reconstruído</x:v>
      </x:c>
      <x:c r="B4" t="str">
        <x:v>46 pesquisas 1T (ago-out/2026) + 28 2T; não corresponde a todas as pesquisas do ano.</x:v>
      </x:c>
    </x:row>
    <x:row r="5" ht="29" customHeight="1">
      <x:c r="A5" t="str">
        <x:v>Última rodada por instituto</x:v>
      </x:c>
      <x:c r="B5" t="str">
        <x:v>Só a mais recente pesquisa 1T por instituto calibra o erro; o histórico integral é preservado.</x:v>
      </x:c>
    </x:row>
    <x:row r="6" ht="29" customHeight="1">
      <x:c r="A6" t="str">
        <x:v>Erro individual (pp)</x:v>
      </x:c>
      <x:c r="B6" t="str">
        <x:v>[Flávio − Lula na urna] − [Flávio − Lula na pesquisa], em votos válidos.</x:v>
      </x:c>
    </x:row>
    <x:row r="7" ht="29" customHeight="1">
      <x:c r="A7" t="str">
        <x:v>Erro comum</x:v>
      </x:c>
      <x:c r="B7" t="str">
        <x:v>Média ponderada dos erros das 13 pesquisas finais comparáveis.</x:v>
      </x:c>
    </x:row>
    <x:row r="8" ht="29" customHeight="1">
      <x:c r="A8" t="str">
        <x:v>Ponderação</x:v>
      </x:c>
      <x:c r="B8" t="str">
        <x:v>(1/2)^(dias/14) × raiz(min(amostra,4000)/2000) × fator de coleta.</x:v>
      </x:c>
    </x:row>
    <x:row r="9" ht="29" customHeight="1">
      <x:c r="A9" t="str">
        <x:v>House effect / shrink</x:v>
      </x:c>
      <x:c r="B9" t="str">
        <x:v>erro_instituto = erro_comum + 0,25 × (erro_urna_i − erro_comum).</x:v>
      </x:c>
    </x:row>
    <x:row r="10" ht="29" customHeight="1">
      <x:c r="A10" t="str">
        <x:v>Correção da pesquisa</x:v>
      </x:c>
      <x:c r="B10" t="str">
        <x:v>Flávio ajustado = Flávio válido + alfa × erro_instituto / 2; Lula = 100 − Flávio.</x:v>
      </x:c>
    </x:row>
    <x:row r="11" ht="29" customHeight="1">
      <x:c r="A11" t="str">
        <x:v>Ajuste inicial (alfa)</x:v>
      </x:c>
      <x:c r="B11" t="str">
        <x:v>0,50 = transferência de metade do erro 1T ao 2T. Hipótese ilustrativa e editável em Painel!B7.</x:v>
      </x:c>
    </x:row>
    <x:row r="12" ht="29" customHeight="1">
      <x:c r="A12" t="str">
        <x:v>Normalização 1T</x:v>
      </x:c>
      <x:c r="B12" t="str">
        <x:v>Se BN+NS reportados, divide pelos votos válidos (100−BN−NS); se faltantes, não imputa.</x:v>
      </x:c>
    </x:row>
    <x:row r="13" ht="29" customHeight="1">
      <x:c r="A13" t="str">
        <x:v>Normalização 2T</x:v>
      </x:c>
      <x:c r="B13" t="str">
        <x:v>Para confronto Lula–Flávio, normaliza os dois candidatos para 100% (F/(F+L)).</x:v>
      </x:c>
    </x:row>
    <x:row r="14" ht="29" customHeight="1">
      <x:c r="A14" t="str">
        <x:v>Amostra / método</x:v>
      </x:c>
      <x:c r="B14" t="str">
        <x:v>Pesos por amostra e coleta são escolhas de modelagem, não parâmetros estimados empiricamente.</x:v>
      </x:c>
    </x:row>
    <x:row r="15" ht="29" customHeight="1">
      <x:c r="A15" t="str">
        <x:v>Alerta temporal</x:v>
      </x:c>
      <x:c r="B15" t="str">
        <x:v>Atlas 2T com entrevistas iniciadas antes do 1º turno recebe desconto adicional.</x:v>
      </x:c>
    </x:row>
    <x:row r="16" ht="29" customHeight="1">
      <x:c r="A16" t="str">
        <x:v>Limitação</x:v>
      </x:c>
      <x:c r="B16" t="str">
        <x:v>Erro eleitoral mistura tendência tardia, ausência de resposta, comparecimento e possível viés persistente.</x:v>
      </x:c>
    </x:row>
    <x:row r="17" ht="29" customHeight="1">
      <x:c r="A17" t="str">
        <x:v>Reprodução</x:v>
      </x:c>
      <x:c r="B17" t="str">
        <x:v>python modelo_vies.py --as-of 2026-10-16 --alpha 0.5 --shrink 0.25</x:v>
      </x:c>
    </x:row>
    <x:row r="18" ht="29" customHeight="1">
      <x:c r="A18" t="str">
        <x:v>Atualização</x:v>
      </x:c>
      <x:c r="B18" t="str">
        <x:v>Adicionar linhas ao pesquisas_2026.csv e rodar o script; recriar planilha para incluir pesquisas novas.</x:v>
      </x:c>
    </x:row>
  </x:sheetData>
  <x:pageMargins left="0.7" right="0.7" top="0.75" bottom="0.75" header="0.3" footer="0.3"/>
</x:worksheet>
</file>